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Independent Sample T Test and N Gain Score in SPSS\"/>
    </mc:Choice>
  </mc:AlternateContent>
  <xr:revisionPtr revIDLastSave="0" documentId="8_{C7DCBFB0-5258-420F-8376-BBFB81121516}" xr6:coauthVersionLast="47" xr6:coauthVersionMax="47" xr10:uidLastSave="{00000000-0000-0000-0000-000000000000}"/>
  <bookViews>
    <workbookView xWindow="-110" yWindow="-110" windowWidth="19420" windowHeight="10300" xr2:uid="{3275757C-A7EE-4B8D-8EC7-7890A9452D5C}"/>
  </bookViews>
  <sheets>
    <sheet name="Validitas Pogil" sheetId="1" r:id="rId1"/>
    <sheet name="Validitas DI" sheetId="3" r:id="rId2"/>
    <sheet name="Reliabilit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2" i="2"/>
  <c r="F3" i="2"/>
  <c r="F2" i="2"/>
  <c r="I31" i="3" a="1"/>
  <c r="I31" i="3" s="1"/>
  <c r="J31" i="3" s="1"/>
  <c r="H31" i="3" a="1"/>
  <c r="H31" i="3" s="1"/>
  <c r="G31" i="3" a="1"/>
  <c r="G31" i="3" s="1"/>
  <c r="I30" i="3" a="1"/>
  <c r="I30" i="3" s="1"/>
  <c r="J30" i="3" s="1"/>
  <c r="H30" i="3" a="1"/>
  <c r="H30" i="3" s="1"/>
  <c r="G30" i="3" a="1"/>
  <c r="G30" i="3" s="1"/>
  <c r="I29" i="3" a="1"/>
  <c r="I29" i="3" s="1"/>
  <c r="J29" i="3" s="1"/>
  <c r="H29" i="3" a="1"/>
  <c r="H29" i="3" s="1"/>
  <c r="G29" i="3" a="1"/>
  <c r="G29" i="3" s="1"/>
  <c r="I28" i="3" a="1"/>
  <c r="I28" i="3" s="1"/>
  <c r="J28" i="3" s="1"/>
  <c r="H28" i="3" a="1"/>
  <c r="H28" i="3" s="1"/>
  <c r="G28" i="3" a="1"/>
  <c r="G28" i="3" s="1"/>
  <c r="I27" i="3" a="1"/>
  <c r="I27" i="3" s="1"/>
  <c r="J27" i="3" s="1"/>
  <c r="H27" i="3" a="1"/>
  <c r="H27" i="3" s="1"/>
  <c r="G27" i="3" a="1"/>
  <c r="G27" i="3" s="1"/>
  <c r="I26" i="3" a="1"/>
  <c r="I26" i="3" s="1"/>
  <c r="J26" i="3" s="1"/>
  <c r="H26" i="3" a="1"/>
  <c r="H26" i="3" s="1"/>
  <c r="G26" i="3" a="1"/>
  <c r="G26" i="3" s="1"/>
  <c r="I25" i="3" a="1"/>
  <c r="I25" i="3" s="1"/>
  <c r="J25" i="3" s="1"/>
  <c r="H25" i="3" a="1"/>
  <c r="H25" i="3" s="1"/>
  <c r="G25" i="3"/>
  <c r="G25" i="3" a="1"/>
  <c r="I24" i="3" a="1"/>
  <c r="I24" i="3" s="1"/>
  <c r="J24" i="3" s="1"/>
  <c r="H24" i="3" a="1"/>
  <c r="H24" i="3" s="1"/>
  <c r="G24" i="3" a="1"/>
  <c r="G24" i="3" s="1"/>
  <c r="I23" i="3" a="1"/>
  <c r="I23" i="3" s="1"/>
  <c r="J23" i="3" s="1"/>
  <c r="H23" i="3" a="1"/>
  <c r="H23" i="3" s="1"/>
  <c r="G23" i="3" a="1"/>
  <c r="G23" i="3" s="1"/>
  <c r="I22" i="3" a="1"/>
  <c r="I22" i="3" s="1"/>
  <c r="J22" i="3" s="1"/>
  <c r="H22" i="3" a="1"/>
  <c r="H22" i="3" s="1"/>
  <c r="G22" i="3"/>
  <c r="G22" i="3" a="1"/>
  <c r="I21" i="3" a="1"/>
  <c r="I21" i="3" s="1"/>
  <c r="J21" i="3" s="1"/>
  <c r="H21" i="3" a="1"/>
  <c r="H21" i="3" s="1"/>
  <c r="G21" i="3" a="1"/>
  <c r="G21" i="3" s="1"/>
  <c r="I20" i="3" a="1"/>
  <c r="I20" i="3" s="1"/>
  <c r="J20" i="3" s="1"/>
  <c r="H20" i="3" a="1"/>
  <c r="H20" i="3" s="1"/>
  <c r="G20" i="3"/>
  <c r="G20" i="3" a="1"/>
  <c r="I19" i="3" a="1"/>
  <c r="I19" i="3" s="1"/>
  <c r="J19" i="3" s="1"/>
  <c r="H19" i="3"/>
  <c r="H19" i="3" a="1"/>
  <c r="G19" i="3" a="1"/>
  <c r="G19" i="3" s="1"/>
  <c r="I18" i="3" a="1"/>
  <c r="I18" i="3" s="1"/>
  <c r="J18" i="3" s="1"/>
  <c r="H18" i="3" a="1"/>
  <c r="H18" i="3" s="1"/>
  <c r="G18" i="3" a="1"/>
  <c r="G18" i="3" s="1"/>
  <c r="I17" i="3" a="1"/>
  <c r="I17" i="3" s="1"/>
  <c r="J17" i="3" s="1"/>
  <c r="H17" i="3" a="1"/>
  <c r="H17" i="3" s="1"/>
  <c r="G17" i="3" a="1"/>
  <c r="G17" i="3" s="1"/>
  <c r="I16" i="3" a="1"/>
  <c r="I16" i="3" s="1"/>
  <c r="J16" i="3" s="1"/>
  <c r="H16" i="3" a="1"/>
  <c r="H16" i="3" s="1"/>
  <c r="G16" i="3" a="1"/>
  <c r="G16" i="3" s="1"/>
  <c r="I15" i="3" a="1"/>
  <c r="I15" i="3" s="1"/>
  <c r="J15" i="3" s="1"/>
  <c r="H15" i="3" a="1"/>
  <c r="H15" i="3" s="1"/>
  <c r="G15" i="3" a="1"/>
  <c r="G15" i="3" s="1"/>
  <c r="I14" i="3" a="1"/>
  <c r="I14" i="3" s="1"/>
  <c r="J14" i="3" s="1"/>
  <c r="H14" i="3"/>
  <c r="H14" i="3" a="1"/>
  <c r="G14" i="3" a="1"/>
  <c r="G14" i="3" s="1"/>
  <c r="I13" i="3"/>
  <c r="J13" i="3" s="1"/>
  <c r="I13" i="3" a="1"/>
  <c r="H13" i="3" a="1"/>
  <c r="H13" i="3" s="1"/>
  <c r="G13" i="3" a="1"/>
  <c r="G13" i="3" s="1"/>
  <c r="I12" i="3" a="1"/>
  <c r="I12" i="3" s="1"/>
  <c r="J12" i="3" s="1"/>
  <c r="H12" i="3"/>
  <c r="H12" i="3" a="1"/>
  <c r="G12" i="3"/>
  <c r="G12" i="3" a="1"/>
  <c r="I11" i="3" a="1"/>
  <c r="I11" i="3" s="1"/>
  <c r="J11" i="3" s="1"/>
  <c r="H11" i="3"/>
  <c r="H11" i="3" a="1"/>
  <c r="G11" i="3" a="1"/>
  <c r="G11" i="3" s="1"/>
  <c r="I10" i="3" a="1"/>
  <c r="I10" i="3" s="1"/>
  <c r="J10" i="3" s="1"/>
  <c r="H10" i="3" a="1"/>
  <c r="H10" i="3" s="1"/>
  <c r="G10" i="3" a="1"/>
  <c r="G10" i="3" s="1"/>
  <c r="I9" i="3" a="1"/>
  <c r="I9" i="3" s="1"/>
  <c r="J9" i="3" s="1"/>
  <c r="H9" i="3" a="1"/>
  <c r="H9" i="3" s="1"/>
  <c r="G9" i="3"/>
  <c r="G9" i="3" a="1"/>
  <c r="I8" i="3"/>
  <c r="J8" i="3" s="1"/>
  <c r="I8" i="3" a="1"/>
  <c r="H8" i="3" a="1"/>
  <c r="H8" i="3" s="1"/>
  <c r="G8" i="3" a="1"/>
  <c r="G8" i="3" s="1"/>
  <c r="I7" i="3" a="1"/>
  <c r="I7" i="3" s="1"/>
  <c r="J7" i="3" s="1"/>
  <c r="H7" i="3" a="1"/>
  <c r="H7" i="3" s="1"/>
  <c r="G7" i="3" a="1"/>
  <c r="G7" i="3" s="1"/>
  <c r="I6" i="3" a="1"/>
  <c r="I6" i="3" s="1"/>
  <c r="J6" i="3" s="1"/>
  <c r="H6" i="3" a="1"/>
  <c r="H6" i="3" s="1"/>
  <c r="G6" i="3" a="1"/>
  <c r="G6" i="3" s="1"/>
  <c r="I5" i="3"/>
  <c r="J5" i="3" s="1"/>
  <c r="I5" i="3" a="1"/>
  <c r="H5" i="3" a="1"/>
  <c r="H5" i="3" s="1"/>
  <c r="G5" i="3" a="1"/>
  <c r="G5" i="3" s="1"/>
  <c r="I4" i="3" a="1"/>
  <c r="I4" i="3" s="1"/>
  <c r="J4" i="3" s="1"/>
  <c r="H4" i="3" a="1"/>
  <c r="H4" i="3" s="1"/>
  <c r="G4" i="3" a="1"/>
  <c r="G4" i="3" s="1"/>
  <c r="I3" i="3" a="1"/>
  <c r="I3" i="3" s="1"/>
  <c r="J3" i="3" s="1"/>
  <c r="H3" i="3" a="1"/>
  <c r="H3" i="3" s="1"/>
  <c r="G3" i="3" a="1"/>
  <c r="G3" i="3" s="1"/>
  <c r="I2" i="3" a="1"/>
  <c r="I2" i="3" s="1"/>
  <c r="J2" i="3" s="1"/>
  <c r="H2" i="3" a="1"/>
  <c r="H2" i="3" s="1"/>
  <c r="G2" i="3" a="1"/>
  <c r="G2" i="3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G3" i="1" a="1"/>
  <c r="G3" i="1"/>
  <c r="G4" i="1" a="1"/>
  <c r="G4" i="1" s="1"/>
  <c r="G5" i="1" a="1"/>
  <c r="G5" i="1" s="1"/>
  <c r="G6" i="1" a="1"/>
  <c r="G6" i="1" s="1"/>
  <c r="G7" i="1" a="1"/>
  <c r="G7" i="1"/>
  <c r="G8" i="1" a="1"/>
  <c r="G8" i="1" s="1"/>
  <c r="G9" i="1" a="1"/>
  <c r="G9" i="1" s="1"/>
  <c r="G10" i="1" a="1"/>
  <c r="G10" i="1" s="1"/>
  <c r="G11" i="1" a="1"/>
  <c r="G11" i="1"/>
  <c r="G12" i="1" a="1"/>
  <c r="G12" i="1" s="1"/>
  <c r="G13" i="1" a="1"/>
  <c r="G13" i="1" s="1"/>
  <c r="G14" i="1" a="1"/>
  <c r="G14" i="1" s="1"/>
  <c r="G15" i="1" a="1"/>
  <c r="G15" i="1"/>
  <c r="G16" i="1" a="1"/>
  <c r="G16" i="1" s="1"/>
  <c r="G17" i="1" a="1"/>
  <c r="G17" i="1" s="1"/>
  <c r="G18" i="1" a="1"/>
  <c r="G18" i="1" s="1"/>
  <c r="G19" i="1" a="1"/>
  <c r="G19" i="1"/>
  <c r="G20" i="1" a="1"/>
  <c r="G20" i="1" s="1"/>
  <c r="G21" i="1" a="1"/>
  <c r="G21" i="1" s="1"/>
  <c r="G22" i="1" a="1"/>
  <c r="G22" i="1" s="1"/>
  <c r="G23" i="1" a="1"/>
  <c r="G23" i="1"/>
  <c r="G24" i="1" a="1"/>
  <c r="G24" i="1" s="1"/>
  <c r="G25" i="1" a="1"/>
  <c r="G25" i="1" s="1"/>
  <c r="G26" i="1" a="1"/>
  <c r="G26" i="1" s="1"/>
  <c r="G27" i="1" a="1"/>
  <c r="G27" i="1"/>
  <c r="G28" i="1" a="1"/>
  <c r="G28" i="1" s="1"/>
  <c r="G29" i="1" a="1"/>
  <c r="G29" i="1" s="1"/>
  <c r="G30" i="1" a="1"/>
  <c r="G30" i="1" s="1"/>
  <c r="G31" i="1" a="1"/>
  <c r="G31" i="1"/>
  <c r="G2" i="1" a="1"/>
  <c r="G2" i="1" s="1"/>
  <c r="H2" i="1" a="1"/>
  <c r="H2" i="1" s="1"/>
  <c r="H3" i="1" a="1"/>
  <c r="H3" i="1" s="1"/>
  <c r="H4" i="1" a="1"/>
  <c r="H4" i="1"/>
  <c r="H5" i="1" a="1"/>
  <c r="H5" i="1" s="1"/>
  <c r="H6" i="1" a="1"/>
  <c r="H6" i="1" s="1"/>
  <c r="H7" i="1" a="1"/>
  <c r="H7" i="1" s="1"/>
  <c r="H8" i="1" a="1"/>
  <c r="H8" i="1"/>
  <c r="H9" i="1" a="1"/>
  <c r="H9" i="1" s="1"/>
  <c r="H10" i="1" a="1"/>
  <c r="H10" i="1" s="1"/>
  <c r="H11" i="1" a="1"/>
  <c r="H11" i="1" s="1"/>
  <c r="H12" i="1" a="1"/>
  <c r="H12" i="1"/>
  <c r="H13" i="1" a="1"/>
  <c r="H13" i="1" s="1"/>
  <c r="H14" i="1" a="1"/>
  <c r="H14" i="1" s="1"/>
  <c r="H15" i="1" a="1"/>
  <c r="H15" i="1" s="1"/>
  <c r="H16" i="1" a="1"/>
  <c r="H16" i="1"/>
  <c r="H17" i="1" a="1"/>
  <c r="H17" i="1" s="1"/>
  <c r="H18" i="1" a="1"/>
  <c r="H18" i="1" s="1"/>
  <c r="H19" i="1" a="1"/>
  <c r="H19" i="1" s="1"/>
  <c r="H20" i="1" a="1"/>
  <c r="H20" i="1"/>
  <c r="H21" i="1" a="1"/>
  <c r="H21" i="1" s="1"/>
  <c r="H22" i="1" a="1"/>
  <c r="H22" i="1" s="1"/>
  <c r="H23" i="1" a="1"/>
  <c r="H23" i="1" s="1"/>
  <c r="H24" i="1" a="1"/>
  <c r="H24" i="1"/>
  <c r="H25" i="1" a="1"/>
  <c r="H25" i="1" s="1"/>
  <c r="H26" i="1" a="1"/>
  <c r="H26" i="1" s="1"/>
  <c r="H27" i="1" a="1"/>
  <c r="H27" i="1" s="1"/>
  <c r="H28" i="1" a="1"/>
  <c r="H28" i="1"/>
  <c r="H29" i="1" a="1"/>
  <c r="H29" i="1"/>
  <c r="H30" i="1" a="1"/>
  <c r="H30" i="1"/>
  <c r="H31" i="1" a="1"/>
  <c r="H31" i="1"/>
  <c r="I3" i="1" a="1"/>
  <c r="I3" i="1"/>
  <c r="I4" i="1" a="1"/>
  <c r="I4" i="1" s="1"/>
  <c r="I5" i="1" a="1"/>
  <c r="I5" i="1" s="1"/>
  <c r="I6" i="1" a="1"/>
  <c r="I6" i="1"/>
  <c r="I7" i="1" a="1"/>
  <c r="I7" i="1"/>
  <c r="I8" i="1" a="1"/>
  <c r="I8" i="1" s="1"/>
  <c r="I9" i="1" a="1"/>
  <c r="I9" i="1" s="1"/>
  <c r="I10" i="1" a="1"/>
  <c r="I10" i="1"/>
  <c r="I11" i="1" a="1"/>
  <c r="I11" i="1"/>
  <c r="I12" i="1" a="1"/>
  <c r="I12" i="1" s="1"/>
  <c r="I13" i="1" a="1"/>
  <c r="I13" i="1" s="1"/>
  <c r="I14" i="1" a="1"/>
  <c r="I14" i="1"/>
  <c r="I15" i="1" a="1"/>
  <c r="I15" i="1"/>
  <c r="I16" i="1" a="1"/>
  <c r="I16" i="1" s="1"/>
  <c r="I17" i="1" a="1"/>
  <c r="I17" i="1" s="1"/>
  <c r="I18" i="1" a="1"/>
  <c r="I18" i="1"/>
  <c r="I19" i="1" a="1"/>
  <c r="I19" i="1"/>
  <c r="I20" i="1" a="1"/>
  <c r="I20" i="1" s="1"/>
  <c r="I21" i="1" a="1"/>
  <c r="I21" i="1" s="1"/>
  <c r="I22" i="1" a="1"/>
  <c r="I22" i="1"/>
  <c r="I23" i="1" a="1"/>
  <c r="I23" i="1"/>
  <c r="I24" i="1" a="1"/>
  <c r="I24" i="1" s="1"/>
  <c r="I25" i="1" a="1"/>
  <c r="I25" i="1" s="1"/>
  <c r="I26" i="1" a="1"/>
  <c r="I26" i="1"/>
  <c r="I27" i="1" a="1"/>
  <c r="I27" i="1"/>
  <c r="I28" i="1" a="1"/>
  <c r="I28" i="1" s="1"/>
  <c r="I29" i="1" a="1"/>
  <c r="I29" i="1" s="1"/>
  <c r="I30" i="1" a="1"/>
  <c r="I30" i="1"/>
  <c r="I31" i="1" a="1"/>
  <c r="I31" i="1"/>
  <c r="I2" i="1" a="1"/>
  <c r="I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<sst xmlns="http://schemas.openxmlformats.org/spreadsheetml/2006/main" count="314" uniqueCount="114">
  <si>
    <t/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</si>
  <si>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</si>
  <si>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</si>
  <si>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</si>
  <si>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</si>
  <si>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</si>
  <si>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</si>
  <si>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</si>
  <si>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</si>
  <si>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</si>
  <si>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</si>
  <si>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</si>
  <si>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</si>
  <si>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</si>
  <si>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</si>
  <si>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</si>
  <si>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</si>
  <si>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</si>
  <si>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</si>
  <si>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</si>
  <si>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</si>
  <si>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</si>
  <si>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</si>
  <si>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</si>
  <si>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</si>
  <si>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</si>
  <si>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</si>
  <si>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</si>
  <si>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</si>
  <si>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</si>
  <si>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</si>
  <si>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 Total</t>
  </si>
  <si>
    <t>Pearson Correlation</t>
  </si>
  <si>
    <t>Sig. (2-tailed)</t>
  </si>
  <si>
    <t>N</t>
  </si>
  <si>
    <t>**. Correlation is significant at the 0.01 level (2-tailed).</t>
  </si>
  <si>
    <t>*. Correlation is significant at the 0.05 level (2-tailed).</t>
  </si>
  <si>
    <t>Reliability Statistics</t>
  </si>
  <si>
    <t>Cronbach's Alpha</t>
  </si>
  <si>
    <t>N of Items</t>
  </si>
  <si>
    <t>Pogil</t>
  </si>
  <si>
    <t>DI</t>
  </si>
  <si>
    <t>DI1</t>
  </si>
  <si>
    <t>DI2</t>
  </si>
  <si>
    <t>DI3</t>
  </si>
  <si>
    <t>DI4</t>
  </si>
  <si>
    <t>DI5</t>
  </si>
  <si>
    <t>DI6</t>
  </si>
  <si>
    <t>DI7</t>
  </si>
  <si>
    <t>DI8</t>
  </si>
  <si>
    <t>DI9</t>
  </si>
  <si>
    <t>DI10</t>
  </si>
  <si>
    <t>DI11</t>
  </si>
  <si>
    <t>DI12</t>
  </si>
  <si>
    <t>DI13</t>
  </si>
  <si>
    <t>DI14</t>
  </si>
  <si>
    <t>DI15</t>
  </si>
  <si>
    <t>DI16</t>
  </si>
  <si>
    <t>DI17</t>
  </si>
  <si>
    <t>DI18</t>
  </si>
  <si>
    <t>DI19</t>
  </si>
  <si>
    <t>DI20</t>
  </si>
  <si>
    <t>DI21</t>
  </si>
  <si>
    <t>DI22</t>
  </si>
  <si>
    <t>DI23</t>
  </si>
  <si>
    <t>DI24</t>
  </si>
  <si>
    <t>DI25</t>
  </si>
  <si>
    <t>DI26</t>
  </si>
  <si>
    <t>DI27</t>
  </si>
  <si>
    <t>DI28</t>
  </si>
  <si>
    <t>DI29</t>
  </si>
  <si>
    <t>DI30</t>
  </si>
  <si>
    <t>DI Total</t>
  </si>
  <si>
    <t>0,399*</t>
  </si>
  <si>
    <t>0,474**</t>
  </si>
  <si>
    <t>0,375*</t>
  </si>
  <si>
    <t>0,488**</t>
  </si>
  <si>
    <t>0,403*</t>
  </si>
  <si>
    <t>0,436*</t>
  </si>
  <si>
    <t>0,481**</t>
  </si>
  <si>
    <t>0,419*</t>
  </si>
  <si>
    <t>0,406*</t>
  </si>
  <si>
    <t>0,405*</t>
  </si>
  <si>
    <t>0,458**</t>
  </si>
  <si>
    <t>0,537**</t>
  </si>
  <si>
    <t>0,441*</t>
  </si>
  <si>
    <t>0,536**</t>
  </si>
  <si>
    <t>0,417*</t>
  </si>
  <si>
    <t>0,523**</t>
  </si>
  <si>
    <t>0,391*</t>
  </si>
  <si>
    <t>0,350*</t>
  </si>
  <si>
    <t>0,410*</t>
  </si>
  <si>
    <t>0,413*</t>
  </si>
  <si>
    <t>0,522**</t>
  </si>
  <si>
    <t>0,370*</t>
  </si>
  <si>
    <t>Indikator</t>
  </si>
  <si>
    <t>Pearson</t>
  </si>
  <si>
    <t>Sig</t>
  </si>
  <si>
    <t>Keterangan</t>
  </si>
  <si>
    <t>0,657**</t>
  </si>
  <si>
    <t>0,526**</t>
  </si>
  <si>
    <t>0,438*</t>
  </si>
  <si>
    <t>0,499**</t>
  </si>
  <si>
    <t>0,424*</t>
  </si>
  <si>
    <t>0,446*</t>
  </si>
  <si>
    <t>0,516**</t>
  </si>
  <si>
    <t>0,548**</t>
  </si>
  <si>
    <t>0,398*</t>
  </si>
  <si>
    <t>0,550**</t>
  </si>
  <si>
    <t>0,561**</t>
  </si>
  <si>
    <t>0,460**</t>
  </si>
  <si>
    <t>0,451**</t>
  </si>
  <si>
    <t>0,428*</t>
  </si>
  <si>
    <t>Kuesioner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</si>
</sst>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##0"/>
    <numFmt numFmtId="169" formatCode="###0.000"/>
    <numFmt numFmtId="176" formatCode="0.00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60"/>
      <name val="Arial Bold"/>
    </font>
    <font>
      <sz val="9"/>
      <color indexed="62"/>
      <name val="Arial"/>
      <family val="2"/>
    </font>
    <font>
      <sz val="9"/>
      <color indexed="60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/>
      <diagonal/>
    </border>
    <border>
      <left/>
      <right/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 style="thin">
        <color indexed="63"/>
      </left>
      <right/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61"/>
      </top>
      <bottom style="thin">
        <color indexed="61"/>
      </bottom>
      <diagonal/>
    </border>
    <border>
      <left style="thin">
        <color indexed="63"/>
      </left>
      <right/>
      <top style="thin">
        <color indexed="61"/>
      </top>
      <bottom style="thin">
        <color indexed="6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2">
    <xf numFmtId="0" fontId="0" fillId="0" borderId="0" xfId="0"/>
    <xf numFmtId="0" fontId="1" fillId="0" borderId="0" xfId="1"/>
    <xf numFmtId="0" fontId="3" fillId="0" borderId="1" xfId="1" applyFont="1" applyBorder="1" applyAlignment="1">
      <alignment horizontal="left" wrapText="1"/>
    </xf>
    <xf numFmtId="0" fontId="3" fillId="0" borderId="3" xfId="1" applyFont="1" applyBorder="1" applyAlignment="1">
      <alignment horizontal="center" wrapText="1"/>
    </xf>
    <xf numFmtId="0" fontId="3" fillId="2" borderId="4" xfId="1" applyFont="1" applyFill="1" applyBorder="1" applyAlignment="1">
      <alignment horizontal="left" vertical="top" wrapText="1"/>
    </xf>
    <xf numFmtId="0" fontId="3" fillId="2" borderId="5" xfId="1" applyFont="1" applyFill="1" applyBorder="1" applyAlignment="1">
      <alignment horizontal="left" vertical="top" wrapText="1"/>
    </xf>
    <xf numFmtId="0" fontId="4" fillId="0" borderId="6" xfId="1" applyFont="1" applyBorder="1" applyAlignment="1">
      <alignment horizontal="right" vertical="top"/>
    </xf>
    <xf numFmtId="0" fontId="3" fillId="2" borderId="7" xfId="1" applyFont="1" applyFill="1" applyBorder="1" applyAlignment="1">
      <alignment horizontal="left" vertical="top" wrapText="1"/>
    </xf>
    <xf numFmtId="0" fontId="3" fillId="2" borderId="7" xfId="1" applyFont="1" applyFill="1" applyBorder="1" applyAlignment="1">
      <alignment horizontal="left" vertical="top" wrapText="1"/>
    </xf>
    <xf numFmtId="169" fontId="4" fillId="0" borderId="8" xfId="1" applyNumberFormat="1" applyFont="1" applyBorder="1" applyAlignment="1">
      <alignment horizontal="right" vertical="top"/>
    </xf>
    <xf numFmtId="0" fontId="3" fillId="2" borderId="9" xfId="1" applyFont="1" applyFill="1" applyBorder="1" applyAlignment="1">
      <alignment horizontal="left" vertical="top" wrapText="1"/>
    </xf>
    <xf numFmtId="0" fontId="3" fillId="2" borderId="9" xfId="1" applyFont="1" applyFill="1" applyBorder="1" applyAlignment="1">
      <alignment horizontal="left" vertical="top" wrapText="1"/>
    </xf>
    <xf numFmtId="168" fontId="4" fillId="0" borderId="10" xfId="1" applyNumberFormat="1" applyFont="1" applyBorder="1" applyAlignment="1">
      <alignment horizontal="right" vertical="top"/>
    </xf>
    <xf numFmtId="0" fontId="4" fillId="0" borderId="8" xfId="1" applyFont="1" applyBorder="1" applyAlignment="1">
      <alignment horizontal="right" vertical="top"/>
    </xf>
    <xf numFmtId="168" fontId="4" fillId="0" borderId="8" xfId="1" applyNumberFormat="1" applyFont="1" applyBorder="1" applyAlignment="1">
      <alignment horizontal="right" vertical="top"/>
    </xf>
    <xf numFmtId="0" fontId="4" fillId="0" borderId="8" xfId="1" applyFont="1" applyBorder="1" applyAlignment="1">
      <alignment horizontal="left" vertical="top" wrapText="1"/>
    </xf>
    <xf numFmtId="0" fontId="3" fillId="2" borderId="11" xfId="1" applyFont="1" applyFill="1" applyBorder="1" applyAlignment="1">
      <alignment horizontal="left" vertical="top" wrapText="1"/>
    </xf>
    <xf numFmtId="0" fontId="3" fillId="2" borderId="11" xfId="1" applyFont="1" applyFill="1" applyBorder="1" applyAlignment="1">
      <alignment horizontal="left" vertical="top" wrapText="1"/>
    </xf>
    <xf numFmtId="168" fontId="4" fillId="0" borderId="12" xfId="1" applyNumberFormat="1" applyFont="1" applyBorder="1" applyAlignment="1">
      <alignment horizontal="right" vertical="top"/>
    </xf>
    <xf numFmtId="0" fontId="2" fillId="0" borderId="0" xfId="2" applyFont="1" applyBorder="1" applyAlignment="1">
      <alignment horizontal="center" vertical="center" wrapText="1"/>
    </xf>
    <xf numFmtId="0" fontId="1" fillId="0" borderId="0" xfId="2"/>
    <xf numFmtId="0" fontId="3" fillId="0" borderId="2" xfId="2" applyFont="1" applyBorder="1" applyAlignment="1">
      <alignment horizontal="center" wrapText="1"/>
    </xf>
    <xf numFmtId="0" fontId="3" fillId="0" borderId="3" xfId="2" applyFont="1" applyBorder="1" applyAlignment="1">
      <alignment horizontal="center" wrapText="1"/>
    </xf>
    <xf numFmtId="169" fontId="4" fillId="0" borderId="13" xfId="2" applyNumberFormat="1" applyFont="1" applyBorder="1" applyAlignment="1">
      <alignment horizontal="right" vertical="top"/>
    </xf>
    <xf numFmtId="168" fontId="4" fillId="0" borderId="14" xfId="2" applyNumberFormat="1" applyFont="1" applyBorder="1" applyAlignment="1">
      <alignment horizontal="right" vertical="top"/>
    </xf>
    <xf numFmtId="0" fontId="1" fillId="0" borderId="0" xfId="3"/>
    <xf numFmtId="0" fontId="3" fillId="0" borderId="1" xfId="3" applyFont="1" applyBorder="1" applyAlignment="1">
      <alignment horizontal="left" wrapText="1"/>
    </xf>
    <xf numFmtId="0" fontId="3" fillId="0" borderId="3" xfId="3" applyFont="1" applyBorder="1" applyAlignment="1">
      <alignment horizontal="center" wrapText="1"/>
    </xf>
    <xf numFmtId="0" fontId="3" fillId="2" borderId="4" xfId="3" applyFont="1" applyFill="1" applyBorder="1" applyAlignment="1">
      <alignment horizontal="left" vertical="top" wrapText="1"/>
    </xf>
    <xf numFmtId="0" fontId="3" fillId="2" borderId="5" xfId="3" applyFont="1" applyFill="1" applyBorder="1" applyAlignment="1">
      <alignment horizontal="left" vertical="top" wrapText="1"/>
    </xf>
    <xf numFmtId="169" fontId="4" fillId="0" borderId="6" xfId="3" applyNumberFormat="1" applyFont="1" applyBorder="1" applyAlignment="1">
      <alignment horizontal="right" vertical="top"/>
    </xf>
    <xf numFmtId="0" fontId="3" fillId="2" borderId="7" xfId="3" applyFont="1" applyFill="1" applyBorder="1" applyAlignment="1">
      <alignment horizontal="left" vertical="top" wrapText="1"/>
    </xf>
    <xf numFmtId="0" fontId="3" fillId="2" borderId="7" xfId="3" applyFont="1" applyFill="1" applyBorder="1" applyAlignment="1">
      <alignment horizontal="left" vertical="top" wrapText="1"/>
    </xf>
    <xf numFmtId="169" fontId="4" fillId="0" borderId="8" xfId="3" applyNumberFormat="1" applyFont="1" applyBorder="1" applyAlignment="1">
      <alignment horizontal="right" vertical="top"/>
    </xf>
    <xf numFmtId="0" fontId="3" fillId="2" borderId="9" xfId="3" applyFont="1" applyFill="1" applyBorder="1" applyAlignment="1">
      <alignment horizontal="left" vertical="top" wrapText="1"/>
    </xf>
    <xf numFmtId="0" fontId="3" fillId="2" borderId="9" xfId="3" applyFont="1" applyFill="1" applyBorder="1" applyAlignment="1">
      <alignment horizontal="left" vertical="top" wrapText="1"/>
    </xf>
    <xf numFmtId="168" fontId="4" fillId="0" borderId="10" xfId="3" applyNumberFormat="1" applyFont="1" applyBorder="1" applyAlignment="1">
      <alignment horizontal="right" vertical="top"/>
    </xf>
    <xf numFmtId="0" fontId="4" fillId="0" borderId="8" xfId="3" applyFont="1" applyBorder="1" applyAlignment="1">
      <alignment horizontal="right" vertical="top"/>
    </xf>
    <xf numFmtId="168" fontId="4" fillId="0" borderId="8" xfId="3" applyNumberFormat="1" applyFont="1" applyBorder="1" applyAlignment="1">
      <alignment horizontal="right" vertical="top"/>
    </xf>
    <xf numFmtId="0" fontId="4" fillId="0" borderId="8" xfId="3" applyFont="1" applyBorder="1" applyAlignment="1">
      <alignment horizontal="left" vertical="top" wrapText="1"/>
    </xf>
    <xf numFmtId="0" fontId="3" fillId="2" borderId="11" xfId="3" applyFont="1" applyFill="1" applyBorder="1" applyAlignment="1">
      <alignment horizontal="left" vertical="top" wrapText="1"/>
    </xf>
    <xf numFmtId="0" fontId="3" fillId="2" borderId="11" xfId="3" applyFont="1" applyFill="1" applyBorder="1" applyAlignment="1">
      <alignment horizontal="left" vertical="top" wrapText="1"/>
    </xf>
    <xf numFmtId="168" fontId="4" fillId="0" borderId="12" xfId="3" applyNumberFormat="1" applyFont="1" applyBorder="1" applyAlignment="1">
      <alignment horizontal="right" vertical="top"/>
    </xf>
    <xf numFmtId="0" fontId="4" fillId="0" borderId="0" xfId="3" applyFont="1" applyBorder="1" applyAlignment="1">
      <alignment horizontal="left" vertical="top" wrapText="1"/>
    </xf>
    <xf numFmtId="0" fontId="2" fillId="0" borderId="0" xfId="4" applyFont="1" applyBorder="1" applyAlignment="1">
      <alignment horizontal="center" vertical="center" wrapText="1"/>
    </xf>
    <xf numFmtId="0" fontId="1" fillId="0" borderId="0" xfId="4"/>
    <xf numFmtId="0" fontId="3" fillId="0" borderId="2" xfId="4" applyFont="1" applyBorder="1" applyAlignment="1">
      <alignment horizontal="center" wrapText="1"/>
    </xf>
    <xf numFmtId="0" fontId="3" fillId="0" borderId="3" xfId="4" applyFont="1" applyBorder="1" applyAlignment="1">
      <alignment horizontal="center" wrapText="1"/>
    </xf>
    <xf numFmtId="169" fontId="4" fillId="0" borderId="13" xfId="4" applyNumberFormat="1" applyFont="1" applyBorder="1" applyAlignment="1">
      <alignment horizontal="right" vertical="top"/>
    </xf>
    <xf numFmtId="168" fontId="4" fillId="0" borderId="14" xfId="4" applyNumberFormat="1" applyFont="1" applyBorder="1" applyAlignment="1">
      <alignment horizontal="right" vertical="top"/>
    </xf>
    <xf numFmtId="169" fontId="0" fillId="0" borderId="0" xfId="0" applyNumberFormat="1"/>
    <xf numFmtId="0" fontId="0" fillId="0" borderId="15" xfId="0" applyBorder="1"/>
    <xf numFmtId="0" fontId="0" fillId="0" borderId="16" xfId="0" applyBorder="1"/>
    <xf numFmtId="169" fontId="0" fillId="0" borderId="16" xfId="0" applyNumberFormat="1" applyBorder="1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0" fillId="0" borderId="16" xfId="0" applyNumberForma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15" xfId="2" applyFont="1" applyBorder="1" applyAlignment="1">
      <alignment horizontal="center"/>
    </xf>
  </cellXfs>
  <cellStyles count="5">
    <cellStyle name="Normal" xfId="0" builtinId="0"/>
    <cellStyle name="Normal_Reliabilitas" xfId="4" xr:uid="{055F4649-E2A4-4A28-98B3-C74EBF02E37C}"/>
    <cellStyle name="Normal_Sheet1" xfId="1" xr:uid="{312B343A-4818-4589-B7FC-351BFDA9044F}"/>
    <cellStyle name="Normal_Sheet2" xfId="2" xr:uid="{68CC205D-C5E1-4F46-BE3A-80F3AE83E05F}"/>
    <cellStyle name="Normal_Sheet3" xfId="3" xr:uid="{22BE3DC3-00CB-4418-AFEE-D8498E226B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FE2EE-FDB7-4226-B35D-7EBA5801DF32}">
  <dimension ref="A1:J94"/>
  <sheetViews>
    <sheetView tabSelected="1" workbookViewId="0">
      <selection activeCell="E6" sqref="E6"/>
    </sheetView>
  </sheetViews>
  <sheetFormatPr defaultRowHeight="14.5" x14ac:dyDescent="0.35"/>
  <cols>
    <col min="7" max="7" width="8.36328125" bestFit="1" customWidth="1"/>
    <col min="8" max="8" width="7.54296875" bestFit="1" customWidth="1"/>
    <col min="9" max="9" width="5.26953125" bestFit="1" customWidth="1"/>
    <col min="10" max="10" width="10.26953125" bestFit="1" customWidth="1"/>
  </cols>
  <sheetData>
    <row r="1" spans="1:10" x14ac:dyDescent="0.35">
      <c r="A1" s="2" t="s">
        <v>0</v>
      </c>
      <c r="B1" s="2"/>
      <c r="C1" s="3" t="s">
        <v>31</v>
      </c>
      <c r="D1" s="1"/>
      <c r="G1" s="51" t="s">
        <v>95</v>
      </c>
      <c r="H1" s="57" t="s">
        <v>96</v>
      </c>
      <c r="I1" s="51" t="s">
        <v>97</v>
      </c>
      <c r="J1" s="51" t="s">
        <v>98</v>
      </c>
    </row>
    <row r="2" spans="1:10" ht="34.5" x14ac:dyDescent="0.35">
      <c r="A2" s="4" t="s">
        <v>1</v>
      </c>
      <c r="B2" s="5" t="s">
        <v>32</v>
      </c>
      <c r="C2" s="6" t="s">
        <v>73</v>
      </c>
      <c r="D2" s="1"/>
      <c r="G2" t="str" cm="1">
        <f t="array" ref="G2">INDEX(A:A,ROW($C$2)*ROW(H1)+ROW(H1)-1)</f>
        <v>P1</v>
      </c>
      <c r="H2" s="58" t="str" cm="1">
        <f t="array" ref="H2">INDEX(C:C,ROW($C$2)*ROW(H1)+ROW(H1)-1)</f>
        <v>0,399*</v>
      </c>
      <c r="I2" s="50" cm="1">
        <f t="array" ref="I2">INDEX(C:C,ROW($C$3)*ROW(I1))</f>
        <v>2.3605669791818652E-2</v>
      </c>
      <c r="J2" t="str">
        <f>IF(I2&lt;0.05,"Valid","Tidak Valid")</f>
        <v>Valid</v>
      </c>
    </row>
    <row r="3" spans="1:10" ht="23" x14ac:dyDescent="0.35">
      <c r="A3" s="7"/>
      <c r="B3" s="8" t="s">
        <v>33</v>
      </c>
      <c r="C3" s="9">
        <v>2.3605669791818652E-2</v>
      </c>
      <c r="D3" s="1"/>
      <c r="G3" t="str" cm="1">
        <f t="array" ref="G3">INDEX(A:A,ROW($C$2)*ROW(H2)+ROW(H2)-1)</f>
        <v>P2</v>
      </c>
      <c r="H3" s="58" t="str" cm="1">
        <f t="array" ref="H3">INDEX(C:C,ROW($C$2)*ROW(H2)+ROW(H2)-1)</f>
        <v>0,474**</v>
      </c>
      <c r="I3" s="50" cm="1">
        <f t="array" ref="I3">INDEX(C:C,ROW($C$3)*ROW(I2))</f>
        <v>6.1554674198469302E-3</v>
      </c>
      <c r="J3" t="str">
        <f t="shared" ref="J3:J31" si="0">IF(I3&lt;0.05,"Valid","Tidak Valid")</f>
        <v>Valid</v>
      </c>
    </row>
    <row r="4" spans="1:10" x14ac:dyDescent="0.35">
      <c r="A4" s="10"/>
      <c r="B4" s="11" t="s">
        <v>34</v>
      </c>
      <c r="C4" s="12">
        <v>32</v>
      </c>
      <c r="D4" s="1"/>
      <c r="G4" t="str" cm="1">
        <f t="array" ref="G4">INDEX(A:A,ROW($C$2)*ROW(H3)+ROW(H3)-1)</f>
        <v>P3</v>
      </c>
      <c r="H4" s="59" cm="1">
        <f t="array" ref="H4">INDEX(C:C,ROW($C$2)*ROW(H3)+ROW(H3)-1)</f>
        <v>0.3462728684900902</v>
      </c>
      <c r="I4" s="50" cm="1">
        <f t="array" ref="I4">INDEX(C:C,ROW($C$3)*ROW(I3))</f>
        <v>5.2207198856742527E-2</v>
      </c>
      <c r="J4" t="str">
        <f t="shared" si="0"/>
        <v>Tidak Valid</v>
      </c>
    </row>
    <row r="5" spans="1:10" ht="34.5" x14ac:dyDescent="0.35">
      <c r="A5" s="10" t="s">
        <v>2</v>
      </c>
      <c r="B5" s="8" t="s">
        <v>32</v>
      </c>
      <c r="C5" s="13" t="s">
        <v>74</v>
      </c>
      <c r="D5" s="1"/>
      <c r="G5" t="str" cm="1">
        <f t="array" ref="G5">INDEX(A:A,ROW($C$2)*ROW(H4)+ROW(H4)-1)</f>
        <v>P4</v>
      </c>
      <c r="H5" s="58" t="str" cm="1">
        <f t="array" ref="H5">INDEX(C:C,ROW($C$2)*ROW(H4)+ROW(H4)-1)</f>
        <v>0,375*</v>
      </c>
      <c r="I5" s="50" cm="1">
        <f t="array" ref="I5">INDEX(C:C,ROW($C$3)*ROW(I4))</f>
        <v>3.4388419146975331E-2</v>
      </c>
      <c r="J5" t="str">
        <f t="shared" si="0"/>
        <v>Valid</v>
      </c>
    </row>
    <row r="6" spans="1:10" ht="23" x14ac:dyDescent="0.35">
      <c r="A6" s="7"/>
      <c r="B6" s="8" t="s">
        <v>33</v>
      </c>
      <c r="C6" s="9">
        <v>6.1554674198469302E-3</v>
      </c>
      <c r="D6" s="1"/>
      <c r="G6" t="str" cm="1">
        <f t="array" ref="G6">INDEX(A:A,ROW($C$2)*ROW(H5)+ROW(H5)-1)</f>
        <v>P5</v>
      </c>
      <c r="H6" s="58" t="str" cm="1">
        <f t="array" ref="H6">INDEX(C:C,ROW($C$2)*ROW(H5)+ROW(H5)-1)</f>
        <v>0,488**</v>
      </c>
      <c r="I6" s="50" cm="1">
        <f t="array" ref="I6">INDEX(C:C,ROW($C$3)*ROW(I5))</f>
        <v>4.5614080161303127E-3</v>
      </c>
      <c r="J6" t="str">
        <f t="shared" si="0"/>
        <v>Valid</v>
      </c>
    </row>
    <row r="7" spans="1:10" x14ac:dyDescent="0.35">
      <c r="A7" s="10"/>
      <c r="B7" s="11" t="s">
        <v>34</v>
      </c>
      <c r="C7" s="12">
        <v>32</v>
      </c>
      <c r="D7" s="1"/>
      <c r="G7" t="str" cm="1">
        <f t="array" ref="G7">INDEX(A:A,ROW($C$2)*ROW(H6)+ROW(H6)-1)</f>
        <v>P6</v>
      </c>
      <c r="H7" s="58" t="str" cm="1">
        <f t="array" ref="H7">INDEX(C:C,ROW($C$2)*ROW(H6)+ROW(H6)-1)</f>
        <v>0,403*</v>
      </c>
      <c r="I7" s="50" cm="1">
        <f t="array" ref="I7">INDEX(C:C,ROW($C$3)*ROW(I6))</f>
        <v>2.2104254075670803E-2</v>
      </c>
      <c r="J7" t="str">
        <f t="shared" si="0"/>
        <v>Valid</v>
      </c>
    </row>
    <row r="8" spans="1:10" ht="34.5" x14ac:dyDescent="0.35">
      <c r="A8" s="10" t="s">
        <v>3</v>
      </c>
      <c r="B8" s="8" t="s">
        <v>32</v>
      </c>
      <c r="C8" s="9">
        <v>0.3462728684900902</v>
      </c>
      <c r="D8" s="1"/>
      <c r="G8" t="str" cm="1">
        <f t="array" ref="G8">INDEX(A:A,ROW($C$2)*ROW(H7)+ROW(H7)-1)</f>
        <v>P7</v>
      </c>
      <c r="H8" s="59" cm="1">
        <f t="array" ref="H8">INDEX(C:C,ROW($C$2)*ROW(H7)+ROW(H7)-1)</f>
        <v>0.31735439100580815</v>
      </c>
      <c r="I8" s="50" cm="1">
        <f t="array" ref="I8">INDEX(C:C,ROW($C$3)*ROW(I7))</f>
        <v>7.6747837665779528E-2</v>
      </c>
      <c r="J8" t="str">
        <f t="shared" si="0"/>
        <v>Tidak Valid</v>
      </c>
    </row>
    <row r="9" spans="1:10" ht="23" x14ac:dyDescent="0.35">
      <c r="A9" s="7"/>
      <c r="B9" s="8" t="s">
        <v>33</v>
      </c>
      <c r="C9" s="9">
        <v>5.2207198856742527E-2</v>
      </c>
      <c r="D9" s="1"/>
      <c r="G9" t="str" cm="1">
        <f t="array" ref="G9">INDEX(A:A,ROW($C$2)*ROW(H8)+ROW(H8)-1)</f>
        <v>P8</v>
      </c>
      <c r="H9" s="58" t="str" cm="1">
        <f t="array" ref="H9">INDEX(C:C,ROW($C$2)*ROW(H8)+ROW(H8)-1)</f>
        <v>0,436*</v>
      </c>
      <c r="I9" s="50" cm="1">
        <f t="array" ref="I9">INDEX(C:C,ROW($C$3)*ROW(I8))</f>
        <v>1.270117362810497E-2</v>
      </c>
      <c r="J9" t="str">
        <f t="shared" si="0"/>
        <v>Valid</v>
      </c>
    </row>
    <row r="10" spans="1:10" x14ac:dyDescent="0.35">
      <c r="A10" s="10"/>
      <c r="B10" s="11" t="s">
        <v>34</v>
      </c>
      <c r="C10" s="12">
        <v>32</v>
      </c>
      <c r="D10" s="1"/>
      <c r="G10" t="str" cm="1">
        <f t="array" ref="G10">INDEX(A:A,ROW($C$2)*ROW(H9)+ROW(H9)-1)</f>
        <v>P9</v>
      </c>
      <c r="H10" s="58" t="str" cm="1">
        <f t="array" ref="H10">INDEX(C:C,ROW($C$2)*ROW(H9)+ROW(H9)-1)</f>
        <v>0,481**</v>
      </c>
      <c r="I10" s="50" cm="1">
        <f t="array" ref="I10">INDEX(C:C,ROW($C$3)*ROW(I9))</f>
        <v>5.3395797634377667E-3</v>
      </c>
      <c r="J10" t="str">
        <f t="shared" si="0"/>
        <v>Valid</v>
      </c>
    </row>
    <row r="11" spans="1:10" ht="34.5" x14ac:dyDescent="0.35">
      <c r="A11" s="10" t="s">
        <v>4</v>
      </c>
      <c r="B11" s="8" t="s">
        <v>32</v>
      </c>
      <c r="C11" s="13" t="s">
        <v>75</v>
      </c>
      <c r="D11" s="1"/>
      <c r="G11" t="str" cm="1">
        <f t="array" ref="G11">INDEX(A:A,ROW($C$2)*ROW(H10)+ROW(H10)-1)</f>
        <v>P10</v>
      </c>
      <c r="H11" s="59" cm="1">
        <f t="array" ref="H11">INDEX(C:C,ROW($C$2)*ROW(H10)+ROW(H10)-1)</f>
        <v>0.34758892473823133</v>
      </c>
      <c r="I11" s="50" cm="1">
        <f t="array" ref="I11">INDEX(C:C,ROW($C$3)*ROW(I10))</f>
        <v>5.1260042711063214E-2</v>
      </c>
      <c r="J11" t="str">
        <f t="shared" si="0"/>
        <v>Tidak Valid</v>
      </c>
    </row>
    <row r="12" spans="1:10" ht="23" x14ac:dyDescent="0.35">
      <c r="A12" s="7"/>
      <c r="B12" s="8" t="s">
        <v>33</v>
      </c>
      <c r="C12" s="9">
        <v>3.4388419146975331E-2</v>
      </c>
      <c r="D12" s="1"/>
      <c r="G12" t="str" cm="1">
        <f t="array" ref="G12">INDEX(A:A,ROW($C$2)*ROW(H11)+ROW(H11)-1)</f>
        <v>P11</v>
      </c>
      <c r="H12" s="58" t="str" cm="1">
        <f t="array" ref="H12">INDEX(C:C,ROW($C$2)*ROW(H11)+ROW(H11)-1)</f>
        <v>0,419*</v>
      </c>
      <c r="I12" s="50" cm="1">
        <f t="array" ref="I12">INDEX(C:C,ROW($C$3)*ROW(I11))</f>
        <v>1.689849444137707E-2</v>
      </c>
      <c r="J12" t="str">
        <f t="shared" si="0"/>
        <v>Valid</v>
      </c>
    </row>
    <row r="13" spans="1:10" x14ac:dyDescent="0.35">
      <c r="A13" s="10"/>
      <c r="B13" s="11" t="s">
        <v>34</v>
      </c>
      <c r="C13" s="12">
        <v>32</v>
      </c>
      <c r="D13" s="1"/>
      <c r="G13" t="str" cm="1">
        <f t="array" ref="G13">INDEX(A:A,ROW($C$2)*ROW(H12)+ROW(H12)-1)</f>
        <v>P12</v>
      </c>
      <c r="H13" s="58" t="str" cm="1">
        <f t="array" ref="H13">INDEX(C:C,ROW($C$2)*ROW(H12)+ROW(H12)-1)</f>
        <v>0,406*</v>
      </c>
      <c r="I13" s="50" cm="1">
        <f t="array" ref="I13">INDEX(C:C,ROW($C$3)*ROW(I12))</f>
        <v>2.1260231127992635E-2</v>
      </c>
      <c r="J13" t="str">
        <f t="shared" si="0"/>
        <v>Valid</v>
      </c>
    </row>
    <row r="14" spans="1:10" ht="34.5" x14ac:dyDescent="0.35">
      <c r="A14" s="10" t="s">
        <v>5</v>
      </c>
      <c r="B14" s="8" t="s">
        <v>32</v>
      </c>
      <c r="C14" s="13" t="s">
        <v>76</v>
      </c>
      <c r="D14" s="1"/>
      <c r="G14" t="str" cm="1">
        <f t="array" ref="G14">INDEX(A:A,ROW($C$2)*ROW(H13)+ROW(H13)-1)</f>
        <v>P13</v>
      </c>
      <c r="H14" s="58" t="str" cm="1">
        <f t="array" ref="H14">INDEX(C:C,ROW($C$2)*ROW(H13)+ROW(H13)-1)</f>
        <v>0,405*</v>
      </c>
      <c r="I14" s="50" cm="1">
        <f t="array" ref="I14">INDEX(C:C,ROW($C$3)*ROW(I13))</f>
        <v>2.1470380275628229E-2</v>
      </c>
      <c r="J14" t="str">
        <f t="shared" si="0"/>
        <v>Valid</v>
      </c>
    </row>
    <row r="15" spans="1:10" ht="23" x14ac:dyDescent="0.35">
      <c r="A15" s="7"/>
      <c r="B15" s="8" t="s">
        <v>33</v>
      </c>
      <c r="C15" s="9">
        <v>4.5614080161303127E-3</v>
      </c>
      <c r="D15" s="1"/>
      <c r="G15" t="str" cm="1">
        <f t="array" ref="G15">INDEX(A:A,ROW($C$2)*ROW(H14)+ROW(H14)-1)</f>
        <v>P14</v>
      </c>
      <c r="H15" s="58" t="str" cm="1">
        <f t="array" ref="H15">INDEX(C:C,ROW($C$2)*ROW(H14)+ROW(H14)-1)</f>
        <v>0,458**</v>
      </c>
      <c r="I15" s="50" cm="1">
        <f t="array" ref="I15">INDEX(C:C,ROW($C$3)*ROW(I14))</f>
        <v>8.4242272684092491E-3</v>
      </c>
      <c r="J15" t="str">
        <f t="shared" si="0"/>
        <v>Valid</v>
      </c>
    </row>
    <row r="16" spans="1:10" x14ac:dyDescent="0.35">
      <c r="A16" s="10"/>
      <c r="B16" s="11" t="s">
        <v>34</v>
      </c>
      <c r="C16" s="12">
        <v>32</v>
      </c>
      <c r="D16" s="1"/>
      <c r="G16" t="str" cm="1">
        <f t="array" ref="G16">INDEX(A:A,ROW($C$2)*ROW(H15)+ROW(H15)-1)</f>
        <v>P15</v>
      </c>
      <c r="H16" s="58" t="str" cm="1">
        <f t="array" ref="H16">INDEX(C:C,ROW($C$2)*ROW(H15)+ROW(H15)-1)</f>
        <v>0,537**</v>
      </c>
      <c r="I16" s="50" cm="1">
        <f t="array" ref="I16">INDEX(C:C,ROW($C$3)*ROW(I15))</f>
        <v>1.5482098778575272E-3</v>
      </c>
      <c r="J16" t="str">
        <f t="shared" si="0"/>
        <v>Valid</v>
      </c>
    </row>
    <row r="17" spans="1:10" ht="34.5" x14ac:dyDescent="0.35">
      <c r="A17" s="10" t="s">
        <v>6</v>
      </c>
      <c r="B17" s="8" t="s">
        <v>32</v>
      </c>
      <c r="C17" s="13" t="s">
        <v>77</v>
      </c>
      <c r="D17" s="1"/>
      <c r="G17" t="str" cm="1">
        <f t="array" ref="G17">INDEX(A:A,ROW($C$2)*ROW(H16)+ROW(H16)-1)</f>
        <v>P16</v>
      </c>
      <c r="H17" s="58" t="str" cm="1">
        <f t="array" ref="H17">INDEX(C:C,ROW($C$2)*ROW(H16)+ROW(H16)-1)</f>
        <v>0,441*</v>
      </c>
      <c r="I17" s="50" cm="1">
        <f t="array" ref="I17">INDEX(C:C,ROW($C$3)*ROW(I16))</f>
        <v>1.1543361122251914E-2</v>
      </c>
      <c r="J17" t="str">
        <f t="shared" si="0"/>
        <v>Valid</v>
      </c>
    </row>
    <row r="18" spans="1:10" ht="23" x14ac:dyDescent="0.35">
      <c r="A18" s="7"/>
      <c r="B18" s="8" t="s">
        <v>33</v>
      </c>
      <c r="C18" s="9">
        <v>2.2104254075670803E-2</v>
      </c>
      <c r="D18" s="1"/>
      <c r="G18" t="str" cm="1">
        <f t="array" ref="G18">INDEX(A:A,ROW($C$2)*ROW(H17)+ROW(H17)-1)</f>
        <v>P17</v>
      </c>
      <c r="H18" s="58" t="str" cm="1">
        <f t="array" ref="H18">INDEX(C:C,ROW($C$2)*ROW(H17)+ROW(H17)-1)</f>
        <v>0,536**</v>
      </c>
      <c r="I18" s="50" cm="1">
        <f t="array" ref="I18">INDEX(C:C,ROW($C$3)*ROW(I17))</f>
        <v>1.5770708115821674E-3</v>
      </c>
      <c r="J18" t="str">
        <f t="shared" si="0"/>
        <v>Valid</v>
      </c>
    </row>
    <row r="19" spans="1:10" x14ac:dyDescent="0.35">
      <c r="A19" s="10"/>
      <c r="B19" s="11" t="s">
        <v>34</v>
      </c>
      <c r="C19" s="12">
        <v>32</v>
      </c>
      <c r="D19" s="1"/>
      <c r="G19" t="str" cm="1">
        <f t="array" ref="G19">INDEX(A:A,ROW($C$2)*ROW(H18)+ROW(H18)-1)</f>
        <v>P18</v>
      </c>
      <c r="H19" s="58" t="str" cm="1">
        <f t="array" ref="H19">INDEX(C:C,ROW($C$2)*ROW(H18)+ROW(H18)-1)</f>
        <v>0,417*</v>
      </c>
      <c r="I19" s="50" cm="1">
        <f t="array" ref="I19">INDEX(C:C,ROW($C$3)*ROW(I18))</f>
        <v>1.7477271349319552E-2</v>
      </c>
      <c r="J19" t="str">
        <f t="shared" si="0"/>
        <v>Valid</v>
      </c>
    </row>
    <row r="20" spans="1:10" ht="34.5" x14ac:dyDescent="0.35">
      <c r="A20" s="10" t="s">
        <v>7</v>
      </c>
      <c r="B20" s="8" t="s">
        <v>32</v>
      </c>
      <c r="C20" s="9">
        <v>0.31735439100580815</v>
      </c>
      <c r="D20" s="1"/>
      <c r="G20" t="str" cm="1">
        <f t="array" ref="G20">INDEX(A:A,ROW($C$2)*ROW(H19)+ROW(H19)-1)</f>
        <v>P19</v>
      </c>
      <c r="H20" s="58" t="str" cm="1">
        <f t="array" ref="H20">INDEX(C:C,ROW($C$2)*ROW(H19)+ROW(H19)-1)</f>
        <v>0,458**</v>
      </c>
      <c r="I20" s="50" cm="1">
        <f t="array" ref="I20">INDEX(C:C,ROW($C$3)*ROW(I19))</f>
        <v>8.4536970371639694E-3</v>
      </c>
      <c r="J20" t="str">
        <f t="shared" si="0"/>
        <v>Valid</v>
      </c>
    </row>
    <row r="21" spans="1:10" ht="23" x14ac:dyDescent="0.35">
      <c r="A21" s="7"/>
      <c r="B21" s="8" t="s">
        <v>33</v>
      </c>
      <c r="C21" s="9">
        <v>7.6747837665779528E-2</v>
      </c>
      <c r="D21" s="1"/>
      <c r="G21" t="str" cm="1">
        <f t="array" ref="G21">INDEX(A:A,ROW($C$2)*ROW(H20)+ROW(H20)-1)</f>
        <v>P20</v>
      </c>
      <c r="H21" s="59" cm="1">
        <f t="array" ref="H21">INDEX(C:C,ROW($C$2)*ROW(H20)+ROW(H20)-1)</f>
        <v>0.31773321184810244</v>
      </c>
      <c r="I21" s="50" cm="1">
        <f t="array" ref="I21">INDEX(C:C,ROW($C$3)*ROW(I20))</f>
        <v>7.6377093704781046E-2</v>
      </c>
      <c r="J21" t="str">
        <f t="shared" si="0"/>
        <v>Tidak Valid</v>
      </c>
    </row>
    <row r="22" spans="1:10" x14ac:dyDescent="0.35">
      <c r="A22" s="10"/>
      <c r="B22" s="11" t="s">
        <v>34</v>
      </c>
      <c r="C22" s="12">
        <v>32</v>
      </c>
      <c r="D22" s="1"/>
      <c r="G22" t="str" cm="1">
        <f t="array" ref="G22">INDEX(A:A,ROW($C$2)*ROW(H21)+ROW(H21)-1)</f>
        <v>P21</v>
      </c>
      <c r="H22" s="58" t="str" cm="1">
        <f t="array" ref="H22">INDEX(C:C,ROW($C$2)*ROW(H21)+ROW(H21)-1)</f>
        <v>0,523**</v>
      </c>
      <c r="I22" s="50" cm="1">
        <f t="array" ref="I22">INDEX(C:C,ROW($C$3)*ROW(I21))</f>
        <v>2.107611721282994E-3</v>
      </c>
      <c r="J22" t="str">
        <f t="shared" si="0"/>
        <v>Valid</v>
      </c>
    </row>
    <row r="23" spans="1:10" ht="34.5" x14ac:dyDescent="0.35">
      <c r="A23" s="10" t="s">
        <v>8</v>
      </c>
      <c r="B23" s="8" t="s">
        <v>32</v>
      </c>
      <c r="C23" s="13" t="s">
        <v>78</v>
      </c>
      <c r="D23" s="1"/>
      <c r="G23" t="str" cm="1">
        <f t="array" ref="G23">INDEX(A:A,ROW($C$2)*ROW(H22)+ROW(H22)-1)</f>
        <v>P22</v>
      </c>
      <c r="H23" s="59" cm="1">
        <f t="array" ref="H23">INDEX(C:C,ROW($C$2)*ROW(H22)+ROW(H22)-1)</f>
        <v>0.30596322699070527</v>
      </c>
      <c r="I23" s="50" cm="1">
        <f t="array" ref="I23">INDEX(C:C,ROW($C$3)*ROW(I22))</f>
        <v>8.8559910395742139E-2</v>
      </c>
      <c r="J23" t="str">
        <f t="shared" si="0"/>
        <v>Tidak Valid</v>
      </c>
    </row>
    <row r="24" spans="1:10" ht="23" x14ac:dyDescent="0.35">
      <c r="A24" s="7"/>
      <c r="B24" s="8" t="s">
        <v>33</v>
      </c>
      <c r="C24" s="9">
        <v>1.270117362810497E-2</v>
      </c>
      <c r="D24" s="1"/>
      <c r="G24" t="str" cm="1">
        <f t="array" ref="G24">INDEX(A:A,ROW($C$2)*ROW(H23)+ROW(H23)-1)</f>
        <v>P23</v>
      </c>
      <c r="H24" s="59" cm="1">
        <f t="array" ref="H24">INDEX(C:C,ROW($C$2)*ROW(H23)+ROW(H23)-1)</f>
        <v>0.31886862590916026</v>
      </c>
      <c r="I24" s="50" cm="1">
        <f t="array" ref="I24">INDEX(C:C,ROW($C$3)*ROW(I23))</f>
        <v>7.5274184917665257E-2</v>
      </c>
      <c r="J24" t="str">
        <f t="shared" si="0"/>
        <v>Tidak Valid</v>
      </c>
    </row>
    <row r="25" spans="1:10" x14ac:dyDescent="0.35">
      <c r="A25" s="10"/>
      <c r="B25" s="11" t="s">
        <v>34</v>
      </c>
      <c r="C25" s="12">
        <v>32</v>
      </c>
      <c r="D25" s="1"/>
      <c r="G25" t="str" cm="1">
        <f t="array" ref="G25">INDEX(A:A,ROW($C$2)*ROW(H24)+ROW(H24)-1)</f>
        <v>P24</v>
      </c>
      <c r="H25" s="58" t="str" cm="1">
        <f t="array" ref="H25">INDEX(C:C,ROW($C$2)*ROW(H24)+ROW(H24)-1)</f>
        <v>0,391*</v>
      </c>
      <c r="I25" s="50" cm="1">
        <f t="array" ref="I25">INDEX(C:C,ROW($C$3)*ROW(I24))</f>
        <v>2.7115796106652715E-2</v>
      </c>
      <c r="J25" t="str">
        <f t="shared" si="0"/>
        <v>Valid</v>
      </c>
    </row>
    <row r="26" spans="1:10" ht="34.5" x14ac:dyDescent="0.35">
      <c r="A26" s="10" t="s">
        <v>9</v>
      </c>
      <c r="B26" s="8" t="s">
        <v>32</v>
      </c>
      <c r="C26" s="13" t="s">
        <v>79</v>
      </c>
      <c r="D26" s="1"/>
      <c r="G26" t="str" cm="1">
        <f t="array" ref="G26">INDEX(A:A,ROW($C$2)*ROW(H25)+ROW(H25)-1)</f>
        <v>P25</v>
      </c>
      <c r="H26" s="58" t="str" cm="1">
        <f t="array" ref="H26">INDEX(C:C,ROW($C$2)*ROW(H25)+ROW(H25)-1)</f>
        <v>0,350*</v>
      </c>
      <c r="I26" s="50" cm="1">
        <f t="array" ref="I26">INDEX(C:C,ROW($C$3)*ROW(I25))</f>
        <v>4.9648378237214338E-2</v>
      </c>
      <c r="J26" t="str">
        <f t="shared" si="0"/>
        <v>Valid</v>
      </c>
    </row>
    <row r="27" spans="1:10" ht="23" x14ac:dyDescent="0.35">
      <c r="A27" s="7"/>
      <c r="B27" s="8" t="s">
        <v>33</v>
      </c>
      <c r="C27" s="9">
        <v>5.3395797634377667E-3</v>
      </c>
      <c r="D27" s="1"/>
      <c r="G27" t="str" cm="1">
        <f t="array" ref="G27">INDEX(A:A,ROW($C$2)*ROW(H26)+ROW(H26)-1)</f>
        <v>P26</v>
      </c>
      <c r="H27" s="58" t="str" cm="1">
        <f t="array" ref="H27">INDEX(C:C,ROW($C$2)*ROW(H26)+ROW(H26)-1)</f>
        <v>0,410*</v>
      </c>
      <c r="I27" s="50" cm="1">
        <f t="array" ref="I27">INDEX(C:C,ROW($C$3)*ROW(I26))</f>
        <v>1.9673337190503112E-2</v>
      </c>
      <c r="J27" t="str">
        <f t="shared" si="0"/>
        <v>Valid</v>
      </c>
    </row>
    <row r="28" spans="1:10" x14ac:dyDescent="0.35">
      <c r="A28" s="10"/>
      <c r="B28" s="11" t="s">
        <v>34</v>
      </c>
      <c r="C28" s="12">
        <v>32</v>
      </c>
      <c r="D28" s="1"/>
      <c r="G28" t="str" cm="1">
        <f t="array" ref="G28">INDEX(A:A,ROW($C$2)*ROW(H27)+ROW(H27)-1)</f>
        <v>P27</v>
      </c>
      <c r="H28" s="58" t="str" cm="1">
        <f t="array" ref="H28">INDEX(C:C,ROW($C$2)*ROW(H27)+ROW(H27)-1)</f>
        <v>0,413*</v>
      </c>
      <c r="I28" s="50" cm="1">
        <f t="array" ref="I28">INDEX(C:C,ROW($C$3)*ROW(I27))</f>
        <v>1.8919366196266371E-2</v>
      </c>
      <c r="J28" t="str">
        <f t="shared" si="0"/>
        <v>Valid</v>
      </c>
    </row>
    <row r="29" spans="1:10" ht="34.5" x14ac:dyDescent="0.35">
      <c r="A29" s="10" t="s">
        <v>10</v>
      </c>
      <c r="B29" s="8" t="s">
        <v>32</v>
      </c>
      <c r="C29" s="9">
        <v>0.34758892473823133</v>
      </c>
      <c r="D29" s="1"/>
      <c r="G29" t="str" cm="1">
        <f t="array" ref="G29">INDEX(A:A,ROW($C$2)*ROW(H28)+ROW(H28)-1)</f>
        <v>P28</v>
      </c>
      <c r="H29" s="58" t="str" cm="1">
        <f t="array" ref="H29">INDEX(C:C,ROW($C$2)*ROW(H28)+ROW(H28)-1)</f>
        <v>0,522**</v>
      </c>
      <c r="I29" s="50" cm="1">
        <f t="array" ref="I29">INDEX(C:C,ROW($C$3)*ROW(I28))</f>
        <v>2.1760838373702804E-3</v>
      </c>
      <c r="J29" t="str">
        <f t="shared" si="0"/>
        <v>Valid</v>
      </c>
    </row>
    <row r="30" spans="1:10" ht="23" x14ac:dyDescent="0.35">
      <c r="A30" s="7"/>
      <c r="B30" s="8" t="s">
        <v>33</v>
      </c>
      <c r="C30" s="9">
        <v>5.1260042711063214E-2</v>
      </c>
      <c r="D30" s="1"/>
      <c r="G30" t="str" cm="1">
        <f t="array" ref="G30">INDEX(A:A,ROW($C$2)*ROW(H29)+ROW(H29)-1)</f>
        <v>P29</v>
      </c>
      <c r="H30" s="58" t="str" cm="1">
        <f t="array" ref="H30">INDEX(C:C,ROW($C$2)*ROW(H29)+ROW(H29)-1)</f>
        <v>0,474**</v>
      </c>
      <c r="I30" s="50" cm="1">
        <f t="array" ref="I30">INDEX(C:C,ROW($C$3)*ROW(I29))</f>
        <v>6.1391607608493595E-3</v>
      </c>
      <c r="J30" t="str">
        <f t="shared" si="0"/>
        <v>Valid</v>
      </c>
    </row>
    <row r="31" spans="1:10" x14ac:dyDescent="0.35">
      <c r="A31" s="10"/>
      <c r="B31" s="11" t="s">
        <v>34</v>
      </c>
      <c r="C31" s="12">
        <v>32</v>
      </c>
      <c r="D31" s="1"/>
      <c r="G31" s="52" t="str" cm="1">
        <f t="array" ref="G31">INDEX(A:A,ROW($C$2)*ROW(H30)+ROW(H30)-1)</f>
        <v>P30</v>
      </c>
      <c r="H31" s="60" t="str" cm="1">
        <f t="array" ref="H31">INDEX(C:C,ROW($C$2)*ROW(H30)+ROW(H30)-1)</f>
        <v>0,370*</v>
      </c>
      <c r="I31" s="53" cm="1">
        <f t="array" ref="I31">INDEX(C:C,ROW($C$3)*ROW(I30))</f>
        <v>3.6990948774078998E-2</v>
      </c>
      <c r="J31" s="52" t="str">
        <f t="shared" si="0"/>
        <v>Valid</v>
      </c>
    </row>
    <row r="32" spans="1:10" ht="34.5" x14ac:dyDescent="0.35">
      <c r="A32" s="10" t="s">
        <v>11</v>
      </c>
      <c r="B32" s="8" t="s">
        <v>32</v>
      </c>
      <c r="C32" s="13" t="s">
        <v>80</v>
      </c>
      <c r="D32" s="1"/>
    </row>
    <row r="33" spans="1:4" ht="23" x14ac:dyDescent="0.35">
      <c r="A33" s="7"/>
      <c r="B33" s="8" t="s">
        <v>33</v>
      </c>
      <c r="C33" s="9">
        <v>1.689849444137707E-2</v>
      </c>
      <c r="D33" s="1"/>
    </row>
    <row r="34" spans="1:4" x14ac:dyDescent="0.35">
      <c r="A34" s="10"/>
      <c r="B34" s="11" t="s">
        <v>34</v>
      </c>
      <c r="C34" s="12">
        <v>32</v>
      </c>
      <c r="D34" s="1"/>
    </row>
    <row r="35" spans="1:4" ht="34.5" x14ac:dyDescent="0.35">
      <c r="A35" s="10" t="s">
        <v>12</v>
      </c>
      <c r="B35" s="8" t="s">
        <v>32</v>
      </c>
      <c r="C35" s="13" t="s">
        <v>81</v>
      </c>
      <c r="D35" s="1"/>
    </row>
    <row r="36" spans="1:4" ht="23" x14ac:dyDescent="0.35">
      <c r="A36" s="7"/>
      <c r="B36" s="8" t="s">
        <v>33</v>
      </c>
      <c r="C36" s="9">
        <v>2.1260231127992635E-2</v>
      </c>
      <c r="D36" s="1"/>
    </row>
    <row r="37" spans="1:4" x14ac:dyDescent="0.35">
      <c r="A37" s="10"/>
      <c r="B37" s="11" t="s">
        <v>34</v>
      </c>
      <c r="C37" s="12">
        <v>32</v>
      </c>
      <c r="D37" s="1"/>
    </row>
    <row r="38" spans="1:4" ht="34.5" x14ac:dyDescent="0.35">
      <c r="A38" s="10" t="s">
        <v>13</v>
      </c>
      <c r="B38" s="8" t="s">
        <v>32</v>
      </c>
      <c r="C38" s="13" t="s">
        <v>82</v>
      </c>
      <c r="D38" s="1"/>
    </row>
    <row r="39" spans="1:4" ht="23" x14ac:dyDescent="0.35">
      <c r="A39" s="7"/>
      <c r="B39" s="8" t="s">
        <v>33</v>
      </c>
      <c r="C39" s="9">
        <v>2.1470380275628229E-2</v>
      </c>
      <c r="D39" s="1"/>
    </row>
    <row r="40" spans="1:4" x14ac:dyDescent="0.35">
      <c r="A40" s="10"/>
      <c r="B40" s="11" t="s">
        <v>34</v>
      </c>
      <c r="C40" s="12">
        <v>32</v>
      </c>
      <c r="D40" s="1"/>
    </row>
    <row r="41" spans="1:4" ht="34.5" x14ac:dyDescent="0.35">
      <c r="A41" s="10" t="s">
        <v>14</v>
      </c>
      <c r="B41" s="8" t="s">
        <v>32</v>
      </c>
      <c r="C41" s="13" t="s">
        <v>83</v>
      </c>
      <c r="D41" s="1"/>
    </row>
    <row r="42" spans="1:4" ht="23" x14ac:dyDescent="0.35">
      <c r="A42" s="7"/>
      <c r="B42" s="8" t="s">
        <v>33</v>
      </c>
      <c r="C42" s="9">
        <v>8.4242272684092491E-3</v>
      </c>
      <c r="D42" s="1"/>
    </row>
    <row r="43" spans="1:4" x14ac:dyDescent="0.35">
      <c r="A43" s="10"/>
      <c r="B43" s="11" t="s">
        <v>34</v>
      </c>
      <c r="C43" s="12">
        <v>32</v>
      </c>
      <c r="D43" s="1"/>
    </row>
    <row r="44" spans="1:4" ht="34.5" x14ac:dyDescent="0.35">
      <c r="A44" s="10" t="s">
        <v>15</v>
      </c>
      <c r="B44" s="8" t="s">
        <v>32</v>
      </c>
      <c r="C44" s="13" t="s">
        <v>84</v>
      </c>
      <c r="D44" s="1"/>
    </row>
    <row r="45" spans="1:4" ht="23" x14ac:dyDescent="0.35">
      <c r="A45" s="7"/>
      <c r="B45" s="8" t="s">
        <v>33</v>
      </c>
      <c r="C45" s="9">
        <v>1.5482098778575272E-3</v>
      </c>
      <c r="D45" s="1"/>
    </row>
    <row r="46" spans="1:4" x14ac:dyDescent="0.35">
      <c r="A46" s="10"/>
      <c r="B46" s="11" t="s">
        <v>34</v>
      </c>
      <c r="C46" s="12">
        <v>32</v>
      </c>
      <c r="D46" s="1"/>
    </row>
    <row r="47" spans="1:4" ht="34.5" x14ac:dyDescent="0.35">
      <c r="A47" s="10" t="s">
        <v>16</v>
      </c>
      <c r="B47" s="8" t="s">
        <v>32</v>
      </c>
      <c r="C47" s="13" t="s">
        <v>85</v>
      </c>
      <c r="D47" s="1"/>
    </row>
    <row r="48" spans="1:4" ht="23" x14ac:dyDescent="0.35">
      <c r="A48" s="7"/>
      <c r="B48" s="8" t="s">
        <v>33</v>
      </c>
      <c r="C48" s="9">
        <v>1.1543361122251914E-2</v>
      </c>
      <c r="D48" s="1"/>
    </row>
    <row r="49" spans="1:4" x14ac:dyDescent="0.35">
      <c r="A49" s="10"/>
      <c r="B49" s="11" t="s">
        <v>34</v>
      </c>
      <c r="C49" s="12">
        <v>32</v>
      </c>
      <c r="D49" s="1"/>
    </row>
    <row r="50" spans="1:4" ht="34.5" x14ac:dyDescent="0.35">
      <c r="A50" s="10" t="s">
        <v>17</v>
      </c>
      <c r="B50" s="8" t="s">
        <v>32</v>
      </c>
      <c r="C50" s="13" t="s">
        <v>86</v>
      </c>
      <c r="D50" s="1"/>
    </row>
    <row r="51" spans="1:4" ht="23" x14ac:dyDescent="0.35">
      <c r="A51" s="7"/>
      <c r="B51" s="8" t="s">
        <v>33</v>
      </c>
      <c r="C51" s="9">
        <v>1.5770708115821674E-3</v>
      </c>
      <c r="D51" s="1"/>
    </row>
    <row r="52" spans="1:4" x14ac:dyDescent="0.35">
      <c r="A52" s="10"/>
      <c r="B52" s="11" t="s">
        <v>34</v>
      </c>
      <c r="C52" s="12">
        <v>32</v>
      </c>
      <c r="D52" s="1"/>
    </row>
    <row r="53" spans="1:4" ht="34.5" x14ac:dyDescent="0.35">
      <c r="A53" s="10" t="s">
        <v>18</v>
      </c>
      <c r="B53" s="8" t="s">
        <v>32</v>
      </c>
      <c r="C53" s="13" t="s">
        <v>87</v>
      </c>
      <c r="D53" s="1"/>
    </row>
    <row r="54" spans="1:4" ht="23" x14ac:dyDescent="0.35">
      <c r="A54" s="7"/>
      <c r="B54" s="8" t="s">
        <v>33</v>
      </c>
      <c r="C54" s="9">
        <v>1.7477271349319552E-2</v>
      </c>
      <c r="D54" s="1"/>
    </row>
    <row r="55" spans="1:4" x14ac:dyDescent="0.35">
      <c r="A55" s="10"/>
      <c r="B55" s="11" t="s">
        <v>34</v>
      </c>
      <c r="C55" s="12">
        <v>32</v>
      </c>
      <c r="D55" s="1"/>
    </row>
    <row r="56" spans="1:4" ht="34.5" x14ac:dyDescent="0.35">
      <c r="A56" s="10" t="s">
        <v>19</v>
      </c>
      <c r="B56" s="8" t="s">
        <v>32</v>
      </c>
      <c r="C56" s="13" t="s">
        <v>83</v>
      </c>
      <c r="D56" s="1"/>
    </row>
    <row r="57" spans="1:4" ht="23" x14ac:dyDescent="0.35">
      <c r="A57" s="7"/>
      <c r="B57" s="8" t="s">
        <v>33</v>
      </c>
      <c r="C57" s="9">
        <v>8.4536970371639694E-3</v>
      </c>
      <c r="D57" s="1"/>
    </row>
    <row r="58" spans="1:4" x14ac:dyDescent="0.35">
      <c r="A58" s="10"/>
      <c r="B58" s="11" t="s">
        <v>34</v>
      </c>
      <c r="C58" s="12">
        <v>32</v>
      </c>
      <c r="D58" s="1"/>
    </row>
    <row r="59" spans="1:4" ht="34.5" x14ac:dyDescent="0.35">
      <c r="A59" s="10" t="s">
        <v>20</v>
      </c>
      <c r="B59" s="8" t="s">
        <v>32</v>
      </c>
      <c r="C59" s="9">
        <v>0.31773321184810244</v>
      </c>
      <c r="D59" s="1"/>
    </row>
    <row r="60" spans="1:4" ht="23" x14ac:dyDescent="0.35">
      <c r="A60" s="7"/>
      <c r="B60" s="8" t="s">
        <v>33</v>
      </c>
      <c r="C60" s="9">
        <v>7.6377093704781046E-2</v>
      </c>
      <c r="D60" s="1"/>
    </row>
    <row r="61" spans="1:4" x14ac:dyDescent="0.35">
      <c r="A61" s="10"/>
      <c r="B61" s="11" t="s">
        <v>34</v>
      </c>
      <c r="C61" s="12">
        <v>32</v>
      </c>
      <c r="D61" s="1"/>
    </row>
    <row r="62" spans="1:4" ht="34.5" x14ac:dyDescent="0.35">
      <c r="A62" s="10" t="s">
        <v>21</v>
      </c>
      <c r="B62" s="8" t="s">
        <v>32</v>
      </c>
      <c r="C62" s="13" t="s">
        <v>88</v>
      </c>
      <c r="D62" s="1"/>
    </row>
    <row r="63" spans="1:4" ht="23" x14ac:dyDescent="0.35">
      <c r="A63" s="7"/>
      <c r="B63" s="8" t="s">
        <v>33</v>
      </c>
      <c r="C63" s="9">
        <v>2.107611721282994E-3</v>
      </c>
      <c r="D63" s="1"/>
    </row>
    <row r="64" spans="1:4" x14ac:dyDescent="0.35">
      <c r="A64" s="10"/>
      <c r="B64" s="11" t="s">
        <v>34</v>
      </c>
      <c r="C64" s="12">
        <v>32</v>
      </c>
      <c r="D64" s="1"/>
    </row>
    <row r="65" spans="1:4" ht="34.5" x14ac:dyDescent="0.35">
      <c r="A65" s="10" t="s">
        <v>22</v>
      </c>
      <c r="B65" s="8" t="s">
        <v>32</v>
      </c>
      <c r="C65" s="9">
        <v>0.30596322699070527</v>
      </c>
      <c r="D65" s="1"/>
    </row>
    <row r="66" spans="1:4" ht="23" x14ac:dyDescent="0.35">
      <c r="A66" s="7"/>
      <c r="B66" s="8" t="s">
        <v>33</v>
      </c>
      <c r="C66" s="9">
        <v>8.8559910395742139E-2</v>
      </c>
      <c r="D66" s="1"/>
    </row>
    <row r="67" spans="1:4" x14ac:dyDescent="0.35">
      <c r="A67" s="10"/>
      <c r="B67" s="11" t="s">
        <v>34</v>
      </c>
      <c r="C67" s="12">
        <v>32</v>
      </c>
      <c r="D67" s="1"/>
    </row>
    <row r="68" spans="1:4" ht="34.5" x14ac:dyDescent="0.35">
      <c r="A68" s="10" t="s">
        <v>23</v>
      </c>
      <c r="B68" s="8" t="s">
        <v>32</v>
      </c>
      <c r="C68" s="9">
        <v>0.31886862590916026</v>
      </c>
      <c r="D68" s="1"/>
    </row>
    <row r="69" spans="1:4" ht="23" x14ac:dyDescent="0.35">
      <c r="A69" s="7"/>
      <c r="B69" s="8" t="s">
        <v>33</v>
      </c>
      <c r="C69" s="9">
        <v>7.5274184917665257E-2</v>
      </c>
      <c r="D69" s="1"/>
    </row>
    <row r="70" spans="1:4" x14ac:dyDescent="0.35">
      <c r="A70" s="10"/>
      <c r="B70" s="11" t="s">
        <v>34</v>
      </c>
      <c r="C70" s="12">
        <v>32</v>
      </c>
      <c r="D70" s="1"/>
    </row>
    <row r="71" spans="1:4" ht="34.5" x14ac:dyDescent="0.35">
      <c r="A71" s="10" t="s">
        <v>24</v>
      </c>
      <c r="B71" s="8" t="s">
        <v>32</v>
      </c>
      <c r="C71" s="13" t="s">
        <v>89</v>
      </c>
      <c r="D71" s="1"/>
    </row>
    <row r="72" spans="1:4" ht="23" x14ac:dyDescent="0.35">
      <c r="A72" s="7"/>
      <c r="B72" s="8" t="s">
        <v>33</v>
      </c>
      <c r="C72" s="9">
        <v>2.7115796106652715E-2</v>
      </c>
      <c r="D72" s="1"/>
    </row>
    <row r="73" spans="1:4" x14ac:dyDescent="0.35">
      <c r="A73" s="10"/>
      <c r="B73" s="11" t="s">
        <v>34</v>
      </c>
      <c r="C73" s="12">
        <v>32</v>
      </c>
      <c r="D73" s="1"/>
    </row>
    <row r="74" spans="1:4" ht="34.5" x14ac:dyDescent="0.35">
      <c r="A74" s="10" t="s">
        <v>25</v>
      </c>
      <c r="B74" s="8" t="s">
        <v>32</v>
      </c>
      <c r="C74" s="13" t="s">
        <v>90</v>
      </c>
      <c r="D74" s="1"/>
    </row>
    <row r="75" spans="1:4" ht="23" x14ac:dyDescent="0.35">
      <c r="A75" s="7"/>
      <c r="B75" s="8" t="s">
        <v>33</v>
      </c>
      <c r="C75" s="9">
        <v>4.9648378237214338E-2</v>
      </c>
      <c r="D75" s="1"/>
    </row>
    <row r="76" spans="1:4" x14ac:dyDescent="0.35">
      <c r="A76" s="10"/>
      <c r="B76" s="11" t="s">
        <v>34</v>
      </c>
      <c r="C76" s="12">
        <v>32</v>
      </c>
      <c r="D76" s="1"/>
    </row>
    <row r="77" spans="1:4" ht="34.5" x14ac:dyDescent="0.35">
      <c r="A77" s="10" t="s">
        <v>26</v>
      </c>
      <c r="B77" s="8" t="s">
        <v>32</v>
      </c>
      <c r="C77" s="13" t="s">
        <v>91</v>
      </c>
      <c r="D77" s="1"/>
    </row>
    <row r="78" spans="1:4" ht="23" x14ac:dyDescent="0.35">
      <c r="A78" s="7"/>
      <c r="B78" s="8" t="s">
        <v>33</v>
      </c>
      <c r="C78" s="9">
        <v>1.9673337190503112E-2</v>
      </c>
      <c r="D78" s="1"/>
    </row>
    <row r="79" spans="1:4" x14ac:dyDescent="0.35">
      <c r="A79" s="10"/>
      <c r="B79" s="11" t="s">
        <v>34</v>
      </c>
      <c r="C79" s="12">
        <v>32</v>
      </c>
      <c r="D79" s="1"/>
    </row>
    <row r="80" spans="1:4" ht="34.5" x14ac:dyDescent="0.35">
      <c r="A80" s="10" t="s">
        <v>27</v>
      </c>
      <c r="B80" s="8" t="s">
        <v>32</v>
      </c>
      <c r="C80" s="13" t="s">
        <v>92</v>
      </c>
      <c r="D80" s="1"/>
    </row>
    <row r="81" spans="1:4" ht="23" x14ac:dyDescent="0.35">
      <c r="A81" s="7"/>
      <c r="B81" s="8" t="s">
        <v>33</v>
      </c>
      <c r="C81" s="9">
        <v>1.8919366196266371E-2</v>
      </c>
      <c r="D81" s="1"/>
    </row>
    <row r="82" spans="1:4" x14ac:dyDescent="0.35">
      <c r="A82" s="10"/>
      <c r="B82" s="11" t="s">
        <v>34</v>
      </c>
      <c r="C82" s="12">
        <v>32</v>
      </c>
      <c r="D82" s="1"/>
    </row>
    <row r="83" spans="1:4" ht="34.5" x14ac:dyDescent="0.35">
      <c r="A83" s="10" t="s">
        <v>28</v>
      </c>
      <c r="B83" s="8" t="s">
        <v>32</v>
      </c>
      <c r="C83" s="13" t="s">
        <v>93</v>
      </c>
      <c r="D83" s="1"/>
    </row>
    <row r="84" spans="1:4" ht="23" x14ac:dyDescent="0.35">
      <c r="A84" s="7"/>
      <c r="B84" s="8" t="s">
        <v>33</v>
      </c>
      <c r="C84" s="9">
        <v>2.1760838373702804E-3</v>
      </c>
      <c r="D84" s="1"/>
    </row>
    <row r="85" spans="1:4" x14ac:dyDescent="0.35">
      <c r="A85" s="10"/>
      <c r="B85" s="11" t="s">
        <v>34</v>
      </c>
      <c r="C85" s="12">
        <v>32</v>
      </c>
      <c r="D85" s="1"/>
    </row>
    <row r="86" spans="1:4" ht="34.5" x14ac:dyDescent="0.35">
      <c r="A86" s="10" t="s">
        <v>29</v>
      </c>
      <c r="B86" s="8" t="s">
        <v>32</v>
      </c>
      <c r="C86" s="13" t="s">
        <v>74</v>
      </c>
      <c r="D86" s="1"/>
    </row>
    <row r="87" spans="1:4" ht="23" x14ac:dyDescent="0.35">
      <c r="A87" s="7"/>
      <c r="B87" s="8" t="s">
        <v>33</v>
      </c>
      <c r="C87" s="9">
        <v>6.1391607608493595E-3</v>
      </c>
      <c r="D87" s="1"/>
    </row>
    <row r="88" spans="1:4" x14ac:dyDescent="0.35">
      <c r="A88" s="10"/>
      <c r="B88" s="11" t="s">
        <v>34</v>
      </c>
      <c r="C88" s="12">
        <v>32</v>
      </c>
      <c r="D88" s="1"/>
    </row>
    <row r="89" spans="1:4" ht="34.5" x14ac:dyDescent="0.35">
      <c r="A89" s="10" t="s">
        <v>30</v>
      </c>
      <c r="B89" s="8" t="s">
        <v>32</v>
      </c>
      <c r="C89" s="13" t="s">
        <v>94</v>
      </c>
      <c r="D89" s="1"/>
    </row>
    <row r="90" spans="1:4" ht="23" x14ac:dyDescent="0.35">
      <c r="A90" s="7"/>
      <c r="B90" s="8" t="s">
        <v>33</v>
      </c>
      <c r="C90" s="9">
        <v>3.6990948774078998E-2</v>
      </c>
      <c r="D90" s="1"/>
    </row>
    <row r="91" spans="1:4" x14ac:dyDescent="0.35">
      <c r="A91" s="10"/>
      <c r="B91" s="11" t="s">
        <v>34</v>
      </c>
      <c r="C91" s="12">
        <v>32</v>
      </c>
      <c r="D91" s="1"/>
    </row>
    <row r="92" spans="1:4" ht="34.5" x14ac:dyDescent="0.35">
      <c r="A92" s="10" t="s">
        <v>31</v>
      </c>
      <c r="B92" s="8" t="s">
        <v>32</v>
      </c>
      <c r="C92" s="14">
        <v>1</v>
      </c>
      <c r="D92" s="1"/>
    </row>
    <row r="93" spans="1:4" ht="23" x14ac:dyDescent="0.35">
      <c r="A93" s="7"/>
      <c r="B93" s="8" t="s">
        <v>33</v>
      </c>
      <c r="C93" s="15"/>
      <c r="D93" s="1"/>
    </row>
    <row r="94" spans="1:4" x14ac:dyDescent="0.35">
      <c r="A94" s="16"/>
      <c r="B94" s="17" t="s">
        <v>34</v>
      </c>
      <c r="C94" s="18">
        <v>32</v>
      </c>
      <c r="D94" s="1"/>
    </row>
  </sheetData>
  <mergeCells count="32">
    <mergeCell ref="A86:A88"/>
    <mergeCell ref="A89:A91"/>
    <mergeCell ref="A92:A94"/>
    <mergeCell ref="A68:A70"/>
    <mergeCell ref="A71:A73"/>
    <mergeCell ref="A74:A76"/>
    <mergeCell ref="A77:A79"/>
    <mergeCell ref="A80:A82"/>
    <mergeCell ref="A83:A85"/>
    <mergeCell ref="A50:A52"/>
    <mergeCell ref="A53:A55"/>
    <mergeCell ref="A56:A58"/>
    <mergeCell ref="A59:A61"/>
    <mergeCell ref="A62:A64"/>
    <mergeCell ref="A65:A67"/>
    <mergeCell ref="A32:A34"/>
    <mergeCell ref="A35:A37"/>
    <mergeCell ref="A38:A40"/>
    <mergeCell ref="A41:A43"/>
    <mergeCell ref="A44:A46"/>
    <mergeCell ref="A47:A49"/>
    <mergeCell ref="A14:A16"/>
    <mergeCell ref="A17:A19"/>
    <mergeCell ref="A20:A22"/>
    <mergeCell ref="A23:A25"/>
    <mergeCell ref="A26:A28"/>
    <mergeCell ref="A29:A31"/>
    <mergeCell ref="A1:B1"/>
    <mergeCell ref="A2:A4"/>
    <mergeCell ref="A5:A7"/>
    <mergeCell ref="A8:A10"/>
    <mergeCell ref="A11:A13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E42DB-C74B-4998-920B-0271E1AE8E23}">
  <dimension ref="A1:J96"/>
  <sheetViews>
    <sheetView topLeftCell="A21" workbookViewId="0">
      <selection activeCell="G1" sqref="G1:J31"/>
    </sheetView>
  </sheetViews>
  <sheetFormatPr defaultRowHeight="14.5" x14ac:dyDescent="0.35"/>
  <cols>
    <col min="7" max="7" width="8.36328125" bestFit="1" customWidth="1"/>
    <col min="8" max="8" width="11.81640625" bestFit="1" customWidth="1"/>
    <col min="9" max="9" width="5.26953125" bestFit="1" customWidth="1"/>
    <col min="10" max="10" width="10.26953125" bestFit="1" customWidth="1"/>
  </cols>
  <sheetData>
    <row r="1" spans="1:10" x14ac:dyDescent="0.35">
      <c r="A1" s="26" t="s">
        <v>0</v>
      </c>
      <c r="B1" s="26"/>
      <c r="C1" s="27" t="s">
        <v>72</v>
      </c>
      <c r="D1" s="25"/>
      <c r="G1" s="51" t="s">
        <v>95</v>
      </c>
      <c r="H1" s="51" t="s">
        <v>96</v>
      </c>
      <c r="I1" s="51" t="s">
        <v>97</v>
      </c>
      <c r="J1" s="51" t="s">
        <v>98</v>
      </c>
    </row>
    <row r="2" spans="1:10" ht="34.5" x14ac:dyDescent="0.35">
      <c r="A2" s="28" t="s">
        <v>42</v>
      </c>
      <c r="B2" s="29" t="s">
        <v>32</v>
      </c>
      <c r="C2" s="30">
        <v>0.13646311961066407</v>
      </c>
      <c r="D2" s="25"/>
      <c r="G2" t="str" cm="1">
        <f t="array" ref="G2">INDEX(A:A,ROW($C$2)*ROW(H1)+ROW(H1)-1)</f>
        <v>DI1</v>
      </c>
      <c r="H2" s="54" cm="1">
        <f t="array" ref="H2">INDEX(C:C,ROW($C$2)*ROW(H1)+ROW(H1)-1)</f>
        <v>0.13646311961066407</v>
      </c>
      <c r="I2" s="50" cm="1">
        <f t="array" ref="I2">INDEX(C:C,ROW($C$3)*ROW(I1))</f>
        <v>0.45643275366894276</v>
      </c>
      <c r="J2" t="str">
        <f>IF(I2&lt;0.05,"Valid","Tidak Valid")</f>
        <v>Tidak Valid</v>
      </c>
    </row>
    <row r="3" spans="1:10" ht="23" x14ac:dyDescent="0.35">
      <c r="A3" s="31"/>
      <c r="B3" s="32" t="s">
        <v>33</v>
      </c>
      <c r="C3" s="33">
        <v>0.45643275366894276</v>
      </c>
      <c r="D3" s="25"/>
      <c r="G3" t="str" cm="1">
        <f t="array" ref="G3">INDEX(A:A,ROW($C$2)*ROW(H2)+ROW(H2)-1)</f>
        <v>DI2</v>
      </c>
      <c r="H3" s="54" cm="1">
        <f t="array" ref="H3">INDEX(C:C,ROW($C$2)*ROW(H2)+ROW(H2)-1)</f>
        <v>0.29163220153175368</v>
      </c>
      <c r="I3" s="50" cm="1">
        <f t="array" ref="I3">INDEX(C:C,ROW($C$3)*ROW(I2))</f>
        <v>0.10533729013402748</v>
      </c>
      <c r="J3" t="str">
        <f t="shared" ref="J3:J31" si="0">IF(I3&lt;0.05,"Valid","Tidak Valid")</f>
        <v>Tidak Valid</v>
      </c>
    </row>
    <row r="4" spans="1:10" x14ac:dyDescent="0.35">
      <c r="A4" s="34"/>
      <c r="B4" s="35" t="s">
        <v>34</v>
      </c>
      <c r="C4" s="36">
        <v>32</v>
      </c>
      <c r="D4" s="25"/>
      <c r="G4" t="str" cm="1">
        <f t="array" ref="G4">INDEX(A:A,ROW($C$2)*ROW(H3)+ROW(H3)-1)</f>
        <v>DI3</v>
      </c>
      <c r="H4" s="54" cm="1">
        <f t="array" ref="H4">INDEX(C:C,ROW($C$2)*ROW(H3)+ROW(H3)-1)</f>
        <v>3.8496867362794819E-2</v>
      </c>
      <c r="I4" s="50" cm="1">
        <f t="array" ref="I4">INDEX(C:C,ROW($C$3)*ROW(I3))</f>
        <v>0.83430439001294798</v>
      </c>
      <c r="J4" t="str">
        <f t="shared" si="0"/>
        <v>Tidak Valid</v>
      </c>
    </row>
    <row r="5" spans="1:10" ht="34.5" x14ac:dyDescent="0.35">
      <c r="A5" s="34" t="s">
        <v>43</v>
      </c>
      <c r="B5" s="32" t="s">
        <v>32</v>
      </c>
      <c r="C5" s="33">
        <v>0.29163220153175368</v>
      </c>
      <c r="D5" s="25"/>
      <c r="G5" t="str" cm="1">
        <f t="array" ref="G5">INDEX(A:A,ROW($C$2)*ROW(H4)+ROW(H4)-1)</f>
        <v>DI4</v>
      </c>
      <c r="H5" s="54" cm="1">
        <f t="array" ref="H5">INDEX(C:C,ROW($C$2)*ROW(H4)+ROW(H4)-1)</f>
        <v>0.17598233856947237</v>
      </c>
      <c r="I5" s="50" cm="1">
        <f t="array" ref="I5">INDEX(C:C,ROW($C$3)*ROW(I4))</f>
        <v>0.33532348419808766</v>
      </c>
      <c r="J5" t="str">
        <f t="shared" si="0"/>
        <v>Tidak Valid</v>
      </c>
    </row>
    <row r="6" spans="1:10" ht="23" x14ac:dyDescent="0.35">
      <c r="A6" s="31"/>
      <c r="B6" s="32" t="s">
        <v>33</v>
      </c>
      <c r="C6" s="33">
        <v>0.10533729013402748</v>
      </c>
      <c r="D6" s="25"/>
      <c r="G6" t="str" cm="1">
        <f t="array" ref="G6">INDEX(A:A,ROW($C$2)*ROW(H5)+ROW(H5)-1)</f>
        <v>DI5</v>
      </c>
      <c r="H6" s="55" t="str" cm="1">
        <f t="array" ref="H6">INDEX(C:C,ROW($C$2)*ROW(H5)+ROW(H5)-1)</f>
        <v>0,657**</v>
      </c>
      <c r="I6" s="50" cm="1">
        <f t="array" ref="I6">INDEX(C:C,ROW($C$3)*ROW(I5))</f>
        <v>4.3908113213855249E-5</v>
      </c>
      <c r="J6" t="str">
        <f t="shared" si="0"/>
        <v>Valid</v>
      </c>
    </row>
    <row r="7" spans="1:10" x14ac:dyDescent="0.35">
      <c r="A7" s="34"/>
      <c r="B7" s="35" t="s">
        <v>34</v>
      </c>
      <c r="C7" s="36">
        <v>32</v>
      </c>
      <c r="D7" s="25"/>
      <c r="G7" t="str" cm="1">
        <f t="array" ref="G7">INDEX(A:A,ROW($C$2)*ROW(H6)+ROW(H6)-1)</f>
        <v>DI6</v>
      </c>
      <c r="H7" s="54" cm="1">
        <f t="array" ref="H7">INDEX(C:C,ROW($C$2)*ROW(H6)+ROW(H6)-1)</f>
        <v>0.25660506545725775</v>
      </c>
      <c r="I7" s="50" cm="1">
        <f t="array" ref="I7">INDEX(C:C,ROW($C$3)*ROW(I6))</f>
        <v>0.15628088928038181</v>
      </c>
      <c r="J7" t="str">
        <f t="shared" si="0"/>
        <v>Tidak Valid</v>
      </c>
    </row>
    <row r="8" spans="1:10" ht="34.5" x14ac:dyDescent="0.35">
      <c r="A8" s="34" t="s">
        <v>44</v>
      </c>
      <c r="B8" s="32" t="s">
        <v>32</v>
      </c>
      <c r="C8" s="33">
        <v>3.8496867362794819E-2</v>
      </c>
      <c r="D8" s="25"/>
      <c r="G8" t="str" cm="1">
        <f t="array" ref="G8">INDEX(A:A,ROW($C$2)*ROW(H7)+ROW(H7)-1)</f>
        <v>DI7</v>
      </c>
      <c r="H8" s="55" t="str" cm="1">
        <f t="array" ref="H8">INDEX(C:C,ROW($C$2)*ROW(H7)+ROW(H7)-1)</f>
        <v>0,526**</v>
      </c>
      <c r="I8" s="50" cm="1">
        <f t="array" ref="I8">INDEX(C:C,ROW($C$3)*ROW(I7))</f>
        <v>1.9825925798151824E-3</v>
      </c>
      <c r="J8" t="str">
        <f t="shared" si="0"/>
        <v>Valid</v>
      </c>
    </row>
    <row r="9" spans="1:10" ht="23" x14ac:dyDescent="0.35">
      <c r="A9" s="31"/>
      <c r="B9" s="32" t="s">
        <v>33</v>
      </c>
      <c r="C9" s="33">
        <v>0.83430439001294798</v>
      </c>
      <c r="D9" s="25"/>
      <c r="G9" t="str" cm="1">
        <f t="array" ref="G9">INDEX(A:A,ROW($C$2)*ROW(H8)+ROW(H8)-1)</f>
        <v>DI8</v>
      </c>
      <c r="H9" s="55" t="str" cm="1">
        <f t="array" ref="H9">INDEX(C:C,ROW($C$2)*ROW(H8)+ROW(H8)-1)</f>
        <v>0,438*</v>
      </c>
      <c r="I9" s="50" cm="1">
        <f t="array" ref="I9">INDEX(C:C,ROW($C$3)*ROW(I8))</f>
        <v>1.2081035466685578E-2</v>
      </c>
      <c r="J9" t="str">
        <f t="shared" si="0"/>
        <v>Valid</v>
      </c>
    </row>
    <row r="10" spans="1:10" x14ac:dyDescent="0.35">
      <c r="A10" s="34"/>
      <c r="B10" s="35" t="s">
        <v>34</v>
      </c>
      <c r="C10" s="36">
        <v>32</v>
      </c>
      <c r="D10" s="25"/>
      <c r="G10" t="str" cm="1">
        <f t="array" ref="G10">INDEX(A:A,ROW($C$2)*ROW(H9)+ROW(H9)-1)</f>
        <v>DI9</v>
      </c>
      <c r="H10" s="55" t="str" cm="1">
        <f t="array" ref="H10">INDEX(C:C,ROW($C$2)*ROW(H9)+ROW(H9)-1)</f>
        <v>0,499**</v>
      </c>
      <c r="I10" s="50" cm="1">
        <f t="array" ref="I10">INDEX(C:C,ROW($C$3)*ROW(I9))</f>
        <v>3.6301562840168871E-3</v>
      </c>
      <c r="J10" t="str">
        <f t="shared" si="0"/>
        <v>Valid</v>
      </c>
    </row>
    <row r="11" spans="1:10" ht="34.5" x14ac:dyDescent="0.35">
      <c r="A11" s="34" t="s">
        <v>45</v>
      </c>
      <c r="B11" s="32" t="s">
        <v>32</v>
      </c>
      <c r="C11" s="33">
        <v>0.17598233856947237</v>
      </c>
      <c r="D11" s="25"/>
      <c r="G11" t="str" cm="1">
        <f t="array" ref="G11">INDEX(A:A,ROW($C$2)*ROW(H10)+ROW(H10)-1)</f>
        <v>DI10</v>
      </c>
      <c r="H11" s="54" cm="1">
        <f t="array" ref="H11">INDEX(C:C,ROW($C$2)*ROW(H10)+ROW(H10)-1)</f>
        <v>0.29796210871062312</v>
      </c>
      <c r="I11" s="50" cm="1">
        <f t="array" ref="I11">INDEX(C:C,ROW($C$3)*ROW(I10))</f>
        <v>9.7654243812119887E-2</v>
      </c>
      <c r="J11" t="str">
        <f t="shared" si="0"/>
        <v>Tidak Valid</v>
      </c>
    </row>
    <row r="12" spans="1:10" ht="23" x14ac:dyDescent="0.35">
      <c r="A12" s="31"/>
      <c r="B12" s="32" t="s">
        <v>33</v>
      </c>
      <c r="C12" s="33">
        <v>0.33532348419808766</v>
      </c>
      <c r="D12" s="25"/>
      <c r="G12" t="str" cm="1">
        <f t="array" ref="G12">INDEX(A:A,ROW($C$2)*ROW(H11)+ROW(H11)-1)</f>
        <v>DI11</v>
      </c>
      <c r="H12" s="54" cm="1">
        <f t="array" ref="H12">INDEX(C:C,ROW($C$2)*ROW(H11)+ROW(H11)-1)</f>
        <v>0.25550390395748246</v>
      </c>
      <c r="I12" s="50" cm="1">
        <f t="array" ref="I12">INDEX(C:C,ROW($C$3)*ROW(I11))</f>
        <v>0.1581277252220884</v>
      </c>
      <c r="J12" t="str">
        <f t="shared" si="0"/>
        <v>Tidak Valid</v>
      </c>
    </row>
    <row r="13" spans="1:10" x14ac:dyDescent="0.35">
      <c r="A13" s="34"/>
      <c r="B13" s="35" t="s">
        <v>34</v>
      </c>
      <c r="C13" s="36">
        <v>32</v>
      </c>
      <c r="D13" s="25"/>
      <c r="G13" t="str" cm="1">
        <f t="array" ref="G13">INDEX(A:A,ROW($C$2)*ROW(H12)+ROW(H12)-1)</f>
        <v>DI12</v>
      </c>
      <c r="H13" s="55" t="str" cm="1">
        <f t="array" ref="H13">INDEX(C:C,ROW($C$2)*ROW(H12)+ROW(H12)-1)</f>
        <v>0,424*</v>
      </c>
      <c r="I13" s="50" cm="1">
        <f t="array" ref="I13">INDEX(C:C,ROW($C$3)*ROW(I12))</f>
        <v>1.5618437887996635E-2</v>
      </c>
      <c r="J13" t="str">
        <f t="shared" si="0"/>
        <v>Valid</v>
      </c>
    </row>
    <row r="14" spans="1:10" ht="34.5" x14ac:dyDescent="0.35">
      <c r="A14" s="34" t="s">
        <v>46</v>
      </c>
      <c r="B14" s="32" t="s">
        <v>32</v>
      </c>
      <c r="C14" s="37" t="s">
        <v>99</v>
      </c>
      <c r="D14" s="25"/>
      <c r="G14" t="str" cm="1">
        <f t="array" ref="G14">INDEX(A:A,ROW($C$2)*ROW(H13)+ROW(H13)-1)</f>
        <v>DI13</v>
      </c>
      <c r="H14" s="54" cm="1">
        <f t="array" ref="H14">INDEX(C:C,ROW($C$2)*ROW(H13)+ROW(H13)-1)</f>
        <v>0.32147808583599435</v>
      </c>
      <c r="I14" s="50" cm="1">
        <f t="array" ref="I14">INDEX(C:C,ROW($C$3)*ROW(I13))</f>
        <v>7.2786195820451038E-2</v>
      </c>
      <c r="J14" t="str">
        <f t="shared" si="0"/>
        <v>Tidak Valid</v>
      </c>
    </row>
    <row r="15" spans="1:10" ht="23" x14ac:dyDescent="0.35">
      <c r="A15" s="31"/>
      <c r="B15" s="32" t="s">
        <v>33</v>
      </c>
      <c r="C15" s="33">
        <v>4.3908113213855249E-5</v>
      </c>
      <c r="D15" s="25"/>
      <c r="G15" t="str" cm="1">
        <f t="array" ref="G15">INDEX(A:A,ROW($C$2)*ROW(H14)+ROW(H14)-1)</f>
        <v>DI14</v>
      </c>
      <c r="H15" s="54" cm="1">
        <f t="array" ref="H15">INDEX(C:C,ROW($C$2)*ROW(H14)+ROW(H14)-1)</f>
        <v>0.29181754546259547</v>
      </c>
      <c r="I15" s="50" cm="1">
        <f t="array" ref="I15">INDEX(C:C,ROW($C$3)*ROW(I14))</f>
        <v>0.10510604701802709</v>
      </c>
      <c r="J15" t="str">
        <f t="shared" si="0"/>
        <v>Tidak Valid</v>
      </c>
    </row>
    <row r="16" spans="1:10" x14ac:dyDescent="0.35">
      <c r="A16" s="34"/>
      <c r="B16" s="35" t="s">
        <v>34</v>
      </c>
      <c r="C16" s="36">
        <v>32</v>
      </c>
      <c r="D16" s="25"/>
      <c r="G16" t="str" cm="1">
        <f t="array" ref="G16">INDEX(A:A,ROW($C$2)*ROW(H15)+ROW(H15)-1)</f>
        <v>DI15</v>
      </c>
      <c r="H16" s="54" cm="1">
        <f t="array" ref="H16">INDEX(C:C,ROW($C$2)*ROW(H15)+ROW(H15)-1)</f>
        <v>-0.26725202012466348</v>
      </c>
      <c r="I16" s="50" cm="1">
        <f t="array" ref="I16">INDEX(C:C,ROW($C$3)*ROW(I15))</f>
        <v>0.13921894580004995</v>
      </c>
      <c r="J16" t="str">
        <f t="shared" si="0"/>
        <v>Tidak Valid</v>
      </c>
    </row>
    <row r="17" spans="1:10" ht="34.5" x14ac:dyDescent="0.35">
      <c r="A17" s="34" t="s">
        <v>47</v>
      </c>
      <c r="B17" s="32" t="s">
        <v>32</v>
      </c>
      <c r="C17" s="33">
        <v>0.25660506545725775</v>
      </c>
      <c r="D17" s="25"/>
      <c r="G17" t="str" cm="1">
        <f t="array" ref="G17">INDEX(A:A,ROW($C$2)*ROW(H16)+ROW(H16)-1)</f>
        <v>DI16</v>
      </c>
      <c r="H17" s="55" t="str" cm="1">
        <f t="array" ref="H17">INDEX(C:C,ROW($C$2)*ROW(H16)+ROW(H16)-1)</f>
        <v>0,446*</v>
      </c>
      <c r="I17" s="50" cm="1">
        <f t="array" ref="I17">INDEX(C:C,ROW($C$3)*ROW(I16))</f>
        <v>1.0472273664078048E-2</v>
      </c>
      <c r="J17" t="str">
        <f t="shared" si="0"/>
        <v>Valid</v>
      </c>
    </row>
    <row r="18" spans="1:10" ht="23" x14ac:dyDescent="0.35">
      <c r="A18" s="31"/>
      <c r="B18" s="32" t="s">
        <v>33</v>
      </c>
      <c r="C18" s="33">
        <v>0.15628088928038181</v>
      </c>
      <c r="D18" s="25"/>
      <c r="G18" t="str" cm="1">
        <f t="array" ref="G18">INDEX(A:A,ROW($C$2)*ROW(H17)+ROW(H17)-1)</f>
        <v>DI17</v>
      </c>
      <c r="H18" s="54" cm="1">
        <f t="array" ref="H18">INDEX(C:C,ROW($C$2)*ROW(H17)+ROW(H17)-1)</f>
        <v>0.30818664924062228</v>
      </c>
      <c r="I18" s="50" cm="1">
        <f t="array" ref="I18">INDEX(C:C,ROW($C$3)*ROW(I17))</f>
        <v>8.615153877327747E-2</v>
      </c>
      <c r="J18" t="str">
        <f t="shared" si="0"/>
        <v>Tidak Valid</v>
      </c>
    </row>
    <row r="19" spans="1:10" x14ac:dyDescent="0.35">
      <c r="A19" s="34"/>
      <c r="B19" s="35" t="s">
        <v>34</v>
      </c>
      <c r="C19" s="36">
        <v>32</v>
      </c>
      <c r="D19" s="25"/>
      <c r="G19" t="str" cm="1">
        <f t="array" ref="G19">INDEX(A:A,ROW($C$2)*ROW(H18)+ROW(H18)-1)</f>
        <v>DI18</v>
      </c>
      <c r="H19" s="55" t="str" cm="1">
        <f t="array" ref="H19">INDEX(C:C,ROW($C$2)*ROW(H18)+ROW(H18)-1)</f>
        <v>0,516**</v>
      </c>
      <c r="I19" s="50" cm="1">
        <f t="array" ref="I19">INDEX(C:C,ROW($C$3)*ROW(I18))</f>
        <v>2.4875294685768332E-3</v>
      </c>
      <c r="J19" t="str">
        <f t="shared" si="0"/>
        <v>Valid</v>
      </c>
    </row>
    <row r="20" spans="1:10" ht="34.5" x14ac:dyDescent="0.35">
      <c r="A20" s="34" t="s">
        <v>48</v>
      </c>
      <c r="B20" s="32" t="s">
        <v>32</v>
      </c>
      <c r="C20" s="37" t="s">
        <v>100</v>
      </c>
      <c r="D20" s="25"/>
      <c r="G20" t="str" cm="1">
        <f t="array" ref="G20">INDEX(A:A,ROW($C$2)*ROW(H19)+ROW(H19)-1)</f>
        <v>DI19</v>
      </c>
      <c r="H20" s="55" t="str" cm="1">
        <f t="array" ref="H20">INDEX(C:C,ROW($C$2)*ROW(H19)+ROW(H19)-1)</f>
        <v>0,548**</v>
      </c>
      <c r="I20" s="50" cm="1">
        <f t="array" ref="I20">INDEX(C:C,ROW($C$3)*ROW(I19))</f>
        <v>1.1668223844208492E-3</v>
      </c>
      <c r="J20" t="str">
        <f t="shared" si="0"/>
        <v>Valid</v>
      </c>
    </row>
    <row r="21" spans="1:10" ht="23" x14ac:dyDescent="0.35">
      <c r="A21" s="31"/>
      <c r="B21" s="32" t="s">
        <v>33</v>
      </c>
      <c r="C21" s="33">
        <v>1.9825925798151824E-3</v>
      </c>
      <c r="D21" s="25"/>
      <c r="G21" t="str" cm="1">
        <f t="array" ref="G21">INDEX(A:A,ROW($C$2)*ROW(H20)+ROW(H20)-1)</f>
        <v>DI20</v>
      </c>
      <c r="H21" s="55" t="str" cm="1">
        <f t="array" ref="H21">INDEX(C:C,ROW($C$2)*ROW(H20)+ROW(H20)-1)</f>
        <v>0,398*</v>
      </c>
      <c r="I21" s="50" cm="1">
        <f t="array" ref="I21">INDEX(C:C,ROW($C$3)*ROW(I20))</f>
        <v>2.3972395248450198E-2</v>
      </c>
      <c r="J21" t="str">
        <f t="shared" si="0"/>
        <v>Valid</v>
      </c>
    </row>
    <row r="22" spans="1:10" x14ac:dyDescent="0.35">
      <c r="A22" s="34"/>
      <c r="B22" s="35" t="s">
        <v>34</v>
      </c>
      <c r="C22" s="36">
        <v>32</v>
      </c>
      <c r="D22" s="25"/>
      <c r="G22" t="str" cm="1">
        <f t="array" ref="G22">INDEX(A:A,ROW($C$2)*ROW(H21)+ROW(H21)-1)</f>
        <v>DI21</v>
      </c>
      <c r="H22" s="55" t="str" cm="1">
        <f t="array" ref="H22">INDEX(C:C,ROW($C$2)*ROW(H21)+ROW(H21)-1)</f>
        <v>0,550**</v>
      </c>
      <c r="I22" s="50" cm="1">
        <f t="array" ref="I22">INDEX(C:C,ROW($C$3)*ROW(I21))</f>
        <v>1.1023806618283836E-3</v>
      </c>
      <c r="J22" t="str">
        <f t="shared" si="0"/>
        <v>Valid</v>
      </c>
    </row>
    <row r="23" spans="1:10" ht="34.5" x14ac:dyDescent="0.35">
      <c r="A23" s="34" t="s">
        <v>49</v>
      </c>
      <c r="B23" s="32" t="s">
        <v>32</v>
      </c>
      <c r="C23" s="37" t="s">
        <v>101</v>
      </c>
      <c r="D23" s="25"/>
      <c r="G23" t="str" cm="1">
        <f t="array" ref="G23">INDEX(A:A,ROW($C$2)*ROW(H22)+ROW(H22)-1)</f>
        <v>DI22</v>
      </c>
      <c r="H23" s="55" t="str" cm="1">
        <f t="array" ref="H23">INDEX(C:C,ROW($C$2)*ROW(H22)+ROW(H22)-1)</f>
        <v>0,561**</v>
      </c>
      <c r="I23" s="50" cm="1">
        <f t="array" ref="I23">INDEX(C:C,ROW($C$3)*ROW(I22))</f>
        <v>8.3348853717750567E-4</v>
      </c>
      <c r="J23" t="str">
        <f t="shared" si="0"/>
        <v>Valid</v>
      </c>
    </row>
    <row r="24" spans="1:10" ht="23" x14ac:dyDescent="0.35">
      <c r="A24" s="31"/>
      <c r="B24" s="32" t="s">
        <v>33</v>
      </c>
      <c r="C24" s="33">
        <v>1.2081035466685578E-2</v>
      </c>
      <c r="D24" s="25"/>
      <c r="G24" t="str" cm="1">
        <f t="array" ref="G24">INDEX(A:A,ROW($C$2)*ROW(H23)+ROW(H23)-1)</f>
        <v>DI23</v>
      </c>
      <c r="H24" s="54" cm="1">
        <f t="array" ref="H24">INDEX(C:C,ROW($C$2)*ROW(H23)+ROW(H23)-1)</f>
        <v>-3.6363989741847444E-2</v>
      </c>
      <c r="I24" s="50" cm="1">
        <f t="array" ref="I24">INDEX(C:C,ROW($C$3)*ROW(I23))</f>
        <v>0.84336842349666785</v>
      </c>
      <c r="J24" t="str">
        <f t="shared" si="0"/>
        <v>Tidak Valid</v>
      </c>
    </row>
    <row r="25" spans="1:10" x14ac:dyDescent="0.35">
      <c r="A25" s="34"/>
      <c r="B25" s="35" t="s">
        <v>34</v>
      </c>
      <c r="C25" s="36">
        <v>32</v>
      </c>
      <c r="D25" s="25"/>
      <c r="G25" t="str" cm="1">
        <f t="array" ref="G25">INDEX(A:A,ROW($C$2)*ROW(H24)+ROW(H24)-1)</f>
        <v>DI24</v>
      </c>
      <c r="H25" s="55" t="str" cm="1">
        <f t="array" ref="H25">INDEX(C:C,ROW($C$2)*ROW(H24)+ROW(H24)-1)</f>
        <v>0,436*</v>
      </c>
      <c r="I25" s="50" cm="1">
        <f t="array" ref="I25">INDEX(C:C,ROW($C$3)*ROW(I24))</f>
        <v>1.2598601652992642E-2</v>
      </c>
      <c r="J25" t="str">
        <f t="shared" si="0"/>
        <v>Valid</v>
      </c>
    </row>
    <row r="26" spans="1:10" ht="34.5" x14ac:dyDescent="0.35">
      <c r="A26" s="34" t="s">
        <v>50</v>
      </c>
      <c r="B26" s="32" t="s">
        <v>32</v>
      </c>
      <c r="C26" s="37" t="s">
        <v>102</v>
      </c>
      <c r="D26" s="25"/>
      <c r="G26" t="str" cm="1">
        <f t="array" ref="G26">INDEX(A:A,ROW($C$2)*ROW(H25)+ROW(H25)-1)</f>
        <v>DI25</v>
      </c>
      <c r="H26" s="55" t="str" cm="1">
        <f t="array" ref="H26">INDEX(C:C,ROW($C$2)*ROW(H25)+ROW(H25)-1)</f>
        <v>0,460**</v>
      </c>
      <c r="I26" s="50" cm="1">
        <f t="array" ref="I26">INDEX(C:C,ROW($C$3)*ROW(I25))</f>
        <v>8.1104603795616303E-3</v>
      </c>
      <c r="J26" t="str">
        <f t="shared" si="0"/>
        <v>Valid</v>
      </c>
    </row>
    <row r="27" spans="1:10" ht="23" x14ac:dyDescent="0.35">
      <c r="A27" s="31"/>
      <c r="B27" s="32" t="s">
        <v>33</v>
      </c>
      <c r="C27" s="33">
        <v>3.6301562840168871E-3</v>
      </c>
      <c r="D27" s="25"/>
      <c r="G27" t="str" cm="1">
        <f t="array" ref="G27">INDEX(A:A,ROW($C$2)*ROW(H26)+ROW(H26)-1)</f>
        <v>DI26</v>
      </c>
      <c r="H27" s="55" t="str" cm="1">
        <f t="array" ref="H27">INDEX(C:C,ROW($C$2)*ROW(H26)+ROW(H26)-1)</f>
        <v>0,451**</v>
      </c>
      <c r="I27" s="50" cm="1">
        <f t="array" ref="I27">INDEX(C:C,ROW($C$3)*ROW(I26))</f>
        <v>9.6485760559744706E-3</v>
      </c>
      <c r="J27" t="str">
        <f t="shared" si="0"/>
        <v>Valid</v>
      </c>
    </row>
    <row r="28" spans="1:10" x14ac:dyDescent="0.35">
      <c r="A28" s="34"/>
      <c r="B28" s="35" t="s">
        <v>34</v>
      </c>
      <c r="C28" s="36">
        <v>32</v>
      </c>
      <c r="D28" s="25"/>
      <c r="G28" t="str" cm="1">
        <f t="array" ref="G28">INDEX(A:A,ROW($C$2)*ROW(H27)+ROW(H27)-1)</f>
        <v>DI27</v>
      </c>
      <c r="H28" s="55" t="str" cm="1">
        <f t="array" ref="H28">INDEX(C:C,ROW($C$2)*ROW(H27)+ROW(H27)-1)</f>
        <v>0,428*</v>
      </c>
      <c r="I28" s="50" cm="1">
        <f t="array" ref="I28">INDEX(C:C,ROW($C$3)*ROW(I27))</f>
        <v>1.4624066508547983E-2</v>
      </c>
      <c r="J28" t="str">
        <f t="shared" si="0"/>
        <v>Valid</v>
      </c>
    </row>
    <row r="29" spans="1:10" ht="34.5" x14ac:dyDescent="0.35">
      <c r="A29" s="34" t="s">
        <v>51</v>
      </c>
      <c r="B29" s="32" t="s">
        <v>32</v>
      </c>
      <c r="C29" s="33">
        <v>0.29796210871062312</v>
      </c>
      <c r="D29" s="25"/>
      <c r="G29" t="str" cm="1">
        <f t="array" ref="G29">INDEX(A:A,ROW($C$2)*ROW(H28)+ROW(H28)-1)</f>
        <v>DI28</v>
      </c>
      <c r="H29" s="54" cm="1">
        <f t="array" ref="H29">INDEX(C:C,ROW($C$2)*ROW(H28)+ROW(H28)-1)</f>
        <v>0.16417105441171106</v>
      </c>
      <c r="I29" s="50" cm="1">
        <f t="array" ref="I29">INDEX(C:C,ROW($C$3)*ROW(I28))</f>
        <v>0.36926216730740791</v>
      </c>
      <c r="J29" t="str">
        <f t="shared" si="0"/>
        <v>Tidak Valid</v>
      </c>
    </row>
    <row r="30" spans="1:10" ht="23" x14ac:dyDescent="0.35">
      <c r="A30" s="31"/>
      <c r="B30" s="32" t="s">
        <v>33</v>
      </c>
      <c r="C30" s="33">
        <v>9.7654243812119887E-2</v>
      </c>
      <c r="D30" s="25"/>
      <c r="G30" t="str" cm="1">
        <f t="array" ref="G30">INDEX(A:A,ROW($C$2)*ROW(H29)+ROW(H29)-1)</f>
        <v>DI29</v>
      </c>
      <c r="H30" s="54" cm="1">
        <f t="array" ref="H30">INDEX(C:C,ROW($C$2)*ROW(H29)+ROW(H29)-1)</f>
        <v>0.24252033927391489</v>
      </c>
      <c r="I30" s="50" cm="1">
        <f t="array" ref="I30">INDEX(C:C,ROW($C$3)*ROW(I29))</f>
        <v>0.1810963889784851</v>
      </c>
      <c r="J30" t="str">
        <f t="shared" si="0"/>
        <v>Tidak Valid</v>
      </c>
    </row>
    <row r="31" spans="1:10" x14ac:dyDescent="0.35">
      <c r="A31" s="34"/>
      <c r="B31" s="35" t="s">
        <v>34</v>
      </c>
      <c r="C31" s="36">
        <v>32</v>
      </c>
      <c r="D31" s="25"/>
      <c r="G31" s="52" t="str" cm="1">
        <f t="array" ref="G31">INDEX(A:A,ROW($C$2)*ROW(H30)+ROW(H30)-1)</f>
        <v>DI30</v>
      </c>
      <c r="H31" s="56" cm="1">
        <f t="array" ref="H31">INDEX(C:C,ROW($C$2)*ROW(H30)+ROW(H30)-1)</f>
        <v>0.24502005819969452</v>
      </c>
      <c r="I31" s="53" cm="1">
        <f t="array" ref="I31">INDEX(C:C,ROW($C$3)*ROW(I30))</f>
        <v>0.17650133451118838</v>
      </c>
      <c r="J31" s="52" t="str">
        <f t="shared" si="0"/>
        <v>Tidak Valid</v>
      </c>
    </row>
    <row r="32" spans="1:10" ht="34.5" x14ac:dyDescent="0.35">
      <c r="A32" s="34" t="s">
        <v>52</v>
      </c>
      <c r="B32" s="32" t="s">
        <v>32</v>
      </c>
      <c r="C32" s="33">
        <v>0.25550390395748246</v>
      </c>
      <c r="D32" s="25"/>
    </row>
    <row r="33" spans="1:4" ht="23" x14ac:dyDescent="0.35">
      <c r="A33" s="31"/>
      <c r="B33" s="32" t="s">
        <v>33</v>
      </c>
      <c r="C33" s="33">
        <v>0.1581277252220884</v>
      </c>
      <c r="D33" s="25"/>
    </row>
    <row r="34" spans="1:4" x14ac:dyDescent="0.35">
      <c r="A34" s="34"/>
      <c r="B34" s="35" t="s">
        <v>34</v>
      </c>
      <c r="C34" s="36">
        <v>32</v>
      </c>
      <c r="D34" s="25"/>
    </row>
    <row r="35" spans="1:4" ht="34.5" x14ac:dyDescent="0.35">
      <c r="A35" s="34" t="s">
        <v>53</v>
      </c>
      <c r="B35" s="32" t="s">
        <v>32</v>
      </c>
      <c r="C35" s="37" t="s">
        <v>103</v>
      </c>
      <c r="D35" s="25"/>
    </row>
    <row r="36" spans="1:4" ht="23" x14ac:dyDescent="0.35">
      <c r="A36" s="31"/>
      <c r="B36" s="32" t="s">
        <v>33</v>
      </c>
      <c r="C36" s="33">
        <v>1.5618437887996635E-2</v>
      </c>
      <c r="D36" s="25"/>
    </row>
    <row r="37" spans="1:4" x14ac:dyDescent="0.35">
      <c r="A37" s="34"/>
      <c r="B37" s="35" t="s">
        <v>34</v>
      </c>
      <c r="C37" s="36">
        <v>32</v>
      </c>
      <c r="D37" s="25"/>
    </row>
    <row r="38" spans="1:4" ht="34.5" x14ac:dyDescent="0.35">
      <c r="A38" s="34" t="s">
        <v>54</v>
      </c>
      <c r="B38" s="32" t="s">
        <v>32</v>
      </c>
      <c r="C38" s="33">
        <v>0.32147808583599435</v>
      </c>
      <c r="D38" s="25"/>
    </row>
    <row r="39" spans="1:4" ht="23" x14ac:dyDescent="0.35">
      <c r="A39" s="31"/>
      <c r="B39" s="32" t="s">
        <v>33</v>
      </c>
      <c r="C39" s="33">
        <v>7.2786195820451038E-2</v>
      </c>
      <c r="D39" s="25"/>
    </row>
    <row r="40" spans="1:4" x14ac:dyDescent="0.35">
      <c r="A40" s="34"/>
      <c r="B40" s="35" t="s">
        <v>34</v>
      </c>
      <c r="C40" s="36">
        <v>32</v>
      </c>
      <c r="D40" s="25"/>
    </row>
    <row r="41" spans="1:4" ht="34.5" x14ac:dyDescent="0.35">
      <c r="A41" s="34" t="s">
        <v>55</v>
      </c>
      <c r="B41" s="32" t="s">
        <v>32</v>
      </c>
      <c r="C41" s="33">
        <v>0.29181754546259547</v>
      </c>
      <c r="D41" s="25"/>
    </row>
    <row r="42" spans="1:4" ht="23" x14ac:dyDescent="0.35">
      <c r="A42" s="31"/>
      <c r="B42" s="32" t="s">
        <v>33</v>
      </c>
      <c r="C42" s="33">
        <v>0.10510604701802709</v>
      </c>
      <c r="D42" s="25"/>
    </row>
    <row r="43" spans="1:4" x14ac:dyDescent="0.35">
      <c r="A43" s="34"/>
      <c r="B43" s="35" t="s">
        <v>34</v>
      </c>
      <c r="C43" s="36">
        <v>32</v>
      </c>
      <c r="D43" s="25"/>
    </row>
    <row r="44" spans="1:4" ht="34.5" x14ac:dyDescent="0.35">
      <c r="A44" s="34" t="s">
        <v>56</v>
      </c>
      <c r="B44" s="32" t="s">
        <v>32</v>
      </c>
      <c r="C44" s="33">
        <v>-0.26725202012466348</v>
      </c>
      <c r="D44" s="25"/>
    </row>
    <row r="45" spans="1:4" ht="23" x14ac:dyDescent="0.35">
      <c r="A45" s="31"/>
      <c r="B45" s="32" t="s">
        <v>33</v>
      </c>
      <c r="C45" s="33">
        <v>0.13921894580004995</v>
      </c>
      <c r="D45" s="25"/>
    </row>
    <row r="46" spans="1:4" x14ac:dyDescent="0.35">
      <c r="A46" s="34"/>
      <c r="B46" s="35" t="s">
        <v>34</v>
      </c>
      <c r="C46" s="36">
        <v>32</v>
      </c>
      <c r="D46" s="25"/>
    </row>
    <row r="47" spans="1:4" ht="34.5" x14ac:dyDescent="0.35">
      <c r="A47" s="34" t="s">
        <v>57</v>
      </c>
      <c r="B47" s="32" t="s">
        <v>32</v>
      </c>
      <c r="C47" s="37" t="s">
        <v>104</v>
      </c>
      <c r="D47" s="25"/>
    </row>
    <row r="48" spans="1:4" ht="23" x14ac:dyDescent="0.35">
      <c r="A48" s="31"/>
      <c r="B48" s="32" t="s">
        <v>33</v>
      </c>
      <c r="C48" s="33">
        <v>1.0472273664078048E-2</v>
      </c>
      <c r="D48" s="25"/>
    </row>
    <row r="49" spans="1:4" x14ac:dyDescent="0.35">
      <c r="A49" s="34"/>
      <c r="B49" s="35" t="s">
        <v>34</v>
      </c>
      <c r="C49" s="36">
        <v>32</v>
      </c>
      <c r="D49" s="25"/>
    </row>
    <row r="50" spans="1:4" ht="34.5" x14ac:dyDescent="0.35">
      <c r="A50" s="34" t="s">
        <v>58</v>
      </c>
      <c r="B50" s="32" t="s">
        <v>32</v>
      </c>
      <c r="C50" s="33">
        <v>0.30818664924062228</v>
      </c>
      <c r="D50" s="25"/>
    </row>
    <row r="51" spans="1:4" ht="23" x14ac:dyDescent="0.35">
      <c r="A51" s="31"/>
      <c r="B51" s="32" t="s">
        <v>33</v>
      </c>
      <c r="C51" s="33">
        <v>8.615153877327747E-2</v>
      </c>
      <c r="D51" s="25"/>
    </row>
    <row r="52" spans="1:4" x14ac:dyDescent="0.35">
      <c r="A52" s="34"/>
      <c r="B52" s="35" t="s">
        <v>34</v>
      </c>
      <c r="C52" s="36">
        <v>32</v>
      </c>
      <c r="D52" s="25"/>
    </row>
    <row r="53" spans="1:4" ht="34.5" x14ac:dyDescent="0.35">
      <c r="A53" s="34" t="s">
        <v>59</v>
      </c>
      <c r="B53" s="32" t="s">
        <v>32</v>
      </c>
      <c r="C53" s="37" t="s">
        <v>105</v>
      </c>
      <c r="D53" s="25"/>
    </row>
    <row r="54" spans="1:4" ht="23" x14ac:dyDescent="0.35">
      <c r="A54" s="31"/>
      <c r="B54" s="32" t="s">
        <v>33</v>
      </c>
      <c r="C54" s="33">
        <v>2.4875294685768332E-3</v>
      </c>
      <c r="D54" s="25"/>
    </row>
    <row r="55" spans="1:4" x14ac:dyDescent="0.35">
      <c r="A55" s="34"/>
      <c r="B55" s="35" t="s">
        <v>34</v>
      </c>
      <c r="C55" s="36">
        <v>32</v>
      </c>
      <c r="D55" s="25"/>
    </row>
    <row r="56" spans="1:4" ht="34.5" x14ac:dyDescent="0.35">
      <c r="A56" s="34" t="s">
        <v>60</v>
      </c>
      <c r="B56" s="32" t="s">
        <v>32</v>
      </c>
      <c r="C56" s="37" t="s">
        <v>106</v>
      </c>
      <c r="D56" s="25"/>
    </row>
    <row r="57" spans="1:4" ht="23" x14ac:dyDescent="0.35">
      <c r="A57" s="31"/>
      <c r="B57" s="32" t="s">
        <v>33</v>
      </c>
      <c r="C57" s="33">
        <v>1.1668223844208492E-3</v>
      </c>
      <c r="D57" s="25"/>
    </row>
    <row r="58" spans="1:4" x14ac:dyDescent="0.35">
      <c r="A58" s="34"/>
      <c r="B58" s="35" t="s">
        <v>34</v>
      </c>
      <c r="C58" s="36">
        <v>32</v>
      </c>
      <c r="D58" s="25"/>
    </row>
    <row r="59" spans="1:4" ht="34.5" x14ac:dyDescent="0.35">
      <c r="A59" s="34" t="s">
        <v>61</v>
      </c>
      <c r="B59" s="32" t="s">
        <v>32</v>
      </c>
      <c r="C59" s="37" t="s">
        <v>107</v>
      </c>
      <c r="D59" s="25"/>
    </row>
    <row r="60" spans="1:4" ht="23" x14ac:dyDescent="0.35">
      <c r="A60" s="31"/>
      <c r="B60" s="32" t="s">
        <v>33</v>
      </c>
      <c r="C60" s="33">
        <v>2.3972395248450198E-2</v>
      </c>
      <c r="D60" s="25"/>
    </row>
    <row r="61" spans="1:4" x14ac:dyDescent="0.35">
      <c r="A61" s="34"/>
      <c r="B61" s="35" t="s">
        <v>34</v>
      </c>
      <c r="C61" s="36">
        <v>32</v>
      </c>
      <c r="D61" s="25"/>
    </row>
    <row r="62" spans="1:4" ht="34.5" x14ac:dyDescent="0.35">
      <c r="A62" s="34" t="s">
        <v>62</v>
      </c>
      <c r="B62" s="32" t="s">
        <v>32</v>
      </c>
      <c r="C62" s="37" t="s">
        <v>108</v>
      </c>
      <c r="D62" s="25"/>
    </row>
    <row r="63" spans="1:4" ht="23" x14ac:dyDescent="0.35">
      <c r="A63" s="31"/>
      <c r="B63" s="32" t="s">
        <v>33</v>
      </c>
      <c r="C63" s="33">
        <v>1.1023806618283836E-3</v>
      </c>
      <c r="D63" s="25"/>
    </row>
    <row r="64" spans="1:4" x14ac:dyDescent="0.35">
      <c r="A64" s="34"/>
      <c r="B64" s="35" t="s">
        <v>34</v>
      </c>
      <c r="C64" s="36">
        <v>32</v>
      </c>
      <c r="D64" s="25"/>
    </row>
    <row r="65" spans="1:4" ht="34.5" x14ac:dyDescent="0.35">
      <c r="A65" s="34" t="s">
        <v>63</v>
      </c>
      <c r="B65" s="32" t="s">
        <v>32</v>
      </c>
      <c r="C65" s="37" t="s">
        <v>109</v>
      </c>
      <c r="D65" s="25"/>
    </row>
    <row r="66" spans="1:4" ht="23" x14ac:dyDescent="0.35">
      <c r="A66" s="31"/>
      <c r="B66" s="32" t="s">
        <v>33</v>
      </c>
      <c r="C66" s="33">
        <v>8.3348853717750567E-4</v>
      </c>
      <c r="D66" s="25"/>
    </row>
    <row r="67" spans="1:4" x14ac:dyDescent="0.35">
      <c r="A67" s="34"/>
      <c r="B67" s="35" t="s">
        <v>34</v>
      </c>
      <c r="C67" s="36">
        <v>32</v>
      </c>
      <c r="D67" s="25"/>
    </row>
    <row r="68" spans="1:4" ht="34.5" x14ac:dyDescent="0.35">
      <c r="A68" s="34" t="s">
        <v>64</v>
      </c>
      <c r="B68" s="32" t="s">
        <v>32</v>
      </c>
      <c r="C68" s="33">
        <v>-3.6363989741847444E-2</v>
      </c>
      <c r="D68" s="25"/>
    </row>
    <row r="69" spans="1:4" ht="23" x14ac:dyDescent="0.35">
      <c r="A69" s="31"/>
      <c r="B69" s="32" t="s">
        <v>33</v>
      </c>
      <c r="C69" s="33">
        <v>0.84336842349666785</v>
      </c>
      <c r="D69" s="25"/>
    </row>
    <row r="70" spans="1:4" x14ac:dyDescent="0.35">
      <c r="A70" s="34"/>
      <c r="B70" s="35" t="s">
        <v>34</v>
      </c>
      <c r="C70" s="36">
        <v>32</v>
      </c>
      <c r="D70" s="25"/>
    </row>
    <row r="71" spans="1:4" ht="34.5" x14ac:dyDescent="0.35">
      <c r="A71" s="34" t="s">
        <v>65</v>
      </c>
      <c r="B71" s="32" t="s">
        <v>32</v>
      </c>
      <c r="C71" s="37" t="s">
        <v>78</v>
      </c>
      <c r="D71" s="25"/>
    </row>
    <row r="72" spans="1:4" ht="23" x14ac:dyDescent="0.35">
      <c r="A72" s="31"/>
      <c r="B72" s="32" t="s">
        <v>33</v>
      </c>
      <c r="C72" s="33">
        <v>1.2598601652992642E-2</v>
      </c>
      <c r="D72" s="25"/>
    </row>
    <row r="73" spans="1:4" x14ac:dyDescent="0.35">
      <c r="A73" s="34"/>
      <c r="B73" s="35" t="s">
        <v>34</v>
      </c>
      <c r="C73" s="36">
        <v>32</v>
      </c>
      <c r="D73" s="25"/>
    </row>
    <row r="74" spans="1:4" ht="34.5" x14ac:dyDescent="0.35">
      <c r="A74" s="34" t="s">
        <v>66</v>
      </c>
      <c r="B74" s="32" t="s">
        <v>32</v>
      </c>
      <c r="C74" s="37" t="s">
        <v>110</v>
      </c>
      <c r="D74" s="25"/>
    </row>
    <row r="75" spans="1:4" ht="23" x14ac:dyDescent="0.35">
      <c r="A75" s="31"/>
      <c r="B75" s="32" t="s">
        <v>33</v>
      </c>
      <c r="C75" s="33">
        <v>8.1104603795616303E-3</v>
      </c>
      <c r="D75" s="25"/>
    </row>
    <row r="76" spans="1:4" x14ac:dyDescent="0.35">
      <c r="A76" s="34"/>
      <c r="B76" s="35" t="s">
        <v>34</v>
      </c>
      <c r="C76" s="36">
        <v>32</v>
      </c>
      <c r="D76" s="25"/>
    </row>
    <row r="77" spans="1:4" ht="34.5" x14ac:dyDescent="0.35">
      <c r="A77" s="34" t="s">
        <v>67</v>
      </c>
      <c r="B77" s="32" t="s">
        <v>32</v>
      </c>
      <c r="C77" s="37" t="s">
        <v>111</v>
      </c>
      <c r="D77" s="25"/>
    </row>
    <row r="78" spans="1:4" ht="23" x14ac:dyDescent="0.35">
      <c r="A78" s="31"/>
      <c r="B78" s="32" t="s">
        <v>33</v>
      </c>
      <c r="C78" s="33">
        <v>9.6485760559744706E-3</v>
      </c>
      <c r="D78" s="25"/>
    </row>
    <row r="79" spans="1:4" x14ac:dyDescent="0.35">
      <c r="A79" s="34"/>
      <c r="B79" s="35" t="s">
        <v>34</v>
      </c>
      <c r="C79" s="36">
        <v>32</v>
      </c>
      <c r="D79" s="25"/>
    </row>
    <row r="80" spans="1:4" ht="34.5" x14ac:dyDescent="0.35">
      <c r="A80" s="34" t="s">
        <v>68</v>
      </c>
      <c r="B80" s="32" t="s">
        <v>32</v>
      </c>
      <c r="C80" s="37" t="s">
        <v>112</v>
      </c>
      <c r="D80" s="25"/>
    </row>
    <row r="81" spans="1:4" ht="23" x14ac:dyDescent="0.35">
      <c r="A81" s="31"/>
      <c r="B81" s="32" t="s">
        <v>33</v>
      </c>
      <c r="C81" s="33">
        <v>1.4624066508547983E-2</v>
      </c>
      <c r="D81" s="25"/>
    </row>
    <row r="82" spans="1:4" x14ac:dyDescent="0.35">
      <c r="A82" s="34"/>
      <c r="B82" s="35" t="s">
        <v>34</v>
      </c>
      <c r="C82" s="36">
        <v>32</v>
      </c>
      <c r="D82" s="25"/>
    </row>
    <row r="83" spans="1:4" ht="34.5" x14ac:dyDescent="0.35">
      <c r="A83" s="34" t="s">
        <v>69</v>
      </c>
      <c r="B83" s="32" t="s">
        <v>32</v>
      </c>
      <c r="C83" s="33">
        <v>0.16417105441171106</v>
      </c>
      <c r="D83" s="25"/>
    </row>
    <row r="84" spans="1:4" ht="23" x14ac:dyDescent="0.35">
      <c r="A84" s="31"/>
      <c r="B84" s="32" t="s">
        <v>33</v>
      </c>
      <c r="C84" s="33">
        <v>0.36926216730740791</v>
      </c>
      <c r="D84" s="25"/>
    </row>
    <row r="85" spans="1:4" x14ac:dyDescent="0.35">
      <c r="A85" s="34"/>
      <c r="B85" s="35" t="s">
        <v>34</v>
      </c>
      <c r="C85" s="36">
        <v>32</v>
      </c>
      <c r="D85" s="25"/>
    </row>
    <row r="86" spans="1:4" ht="34.5" x14ac:dyDescent="0.35">
      <c r="A86" s="34" t="s">
        <v>70</v>
      </c>
      <c r="B86" s="32" t="s">
        <v>32</v>
      </c>
      <c r="C86" s="33">
        <v>0.24252033927391489</v>
      </c>
      <c r="D86" s="25"/>
    </row>
    <row r="87" spans="1:4" ht="23" x14ac:dyDescent="0.35">
      <c r="A87" s="31"/>
      <c r="B87" s="32" t="s">
        <v>33</v>
      </c>
      <c r="C87" s="33">
        <v>0.1810963889784851</v>
      </c>
      <c r="D87" s="25"/>
    </row>
    <row r="88" spans="1:4" x14ac:dyDescent="0.35">
      <c r="A88" s="34"/>
      <c r="B88" s="35" t="s">
        <v>34</v>
      </c>
      <c r="C88" s="36">
        <v>32</v>
      </c>
      <c r="D88" s="25"/>
    </row>
    <row r="89" spans="1:4" ht="34.5" x14ac:dyDescent="0.35">
      <c r="A89" s="34" t="s">
        <v>71</v>
      </c>
      <c r="B89" s="32" t="s">
        <v>32</v>
      </c>
      <c r="C89" s="33">
        <v>0.24502005819969452</v>
      </c>
      <c r="D89" s="25"/>
    </row>
    <row r="90" spans="1:4" ht="23" x14ac:dyDescent="0.35">
      <c r="A90" s="31"/>
      <c r="B90" s="32" t="s">
        <v>33</v>
      </c>
      <c r="C90" s="33">
        <v>0.17650133451118838</v>
      </c>
      <c r="D90" s="25"/>
    </row>
    <row r="91" spans="1:4" x14ac:dyDescent="0.35">
      <c r="A91" s="34"/>
      <c r="B91" s="35" t="s">
        <v>34</v>
      </c>
      <c r="C91" s="36">
        <v>32</v>
      </c>
      <c r="D91" s="25"/>
    </row>
    <row r="92" spans="1:4" ht="34.5" x14ac:dyDescent="0.35">
      <c r="A92" s="34" t="s">
        <v>72</v>
      </c>
      <c r="B92" s="32" t="s">
        <v>32</v>
      </c>
      <c r="C92" s="38">
        <v>1</v>
      </c>
      <c r="D92" s="25"/>
    </row>
    <row r="93" spans="1:4" ht="23" x14ac:dyDescent="0.35">
      <c r="A93" s="31"/>
      <c r="B93" s="32" t="s">
        <v>33</v>
      </c>
      <c r="C93" s="39"/>
      <c r="D93" s="25"/>
    </row>
    <row r="94" spans="1:4" x14ac:dyDescent="0.35">
      <c r="A94" s="40"/>
      <c r="B94" s="41" t="s">
        <v>34</v>
      </c>
      <c r="C94" s="42">
        <v>32</v>
      </c>
      <c r="D94" s="25"/>
    </row>
    <row r="95" spans="1:4" x14ac:dyDescent="0.35">
      <c r="A95" s="43" t="s">
        <v>35</v>
      </c>
      <c r="B95" s="43"/>
      <c r="C95" s="43"/>
      <c r="D95" s="25"/>
    </row>
    <row r="96" spans="1:4" x14ac:dyDescent="0.35">
      <c r="A96" s="43" t="s">
        <v>36</v>
      </c>
      <c r="B96" s="43"/>
      <c r="C96" s="43"/>
      <c r="D96" s="25"/>
    </row>
  </sheetData>
  <mergeCells count="34">
    <mergeCell ref="A86:A88"/>
    <mergeCell ref="A89:A91"/>
    <mergeCell ref="A92:A94"/>
    <mergeCell ref="A95:C95"/>
    <mergeCell ref="A96:C96"/>
    <mergeCell ref="A68:A70"/>
    <mergeCell ref="A71:A73"/>
    <mergeCell ref="A74:A76"/>
    <mergeCell ref="A77:A79"/>
    <mergeCell ref="A80:A82"/>
    <mergeCell ref="A83:A85"/>
    <mergeCell ref="A50:A52"/>
    <mergeCell ref="A53:A55"/>
    <mergeCell ref="A56:A58"/>
    <mergeCell ref="A59:A61"/>
    <mergeCell ref="A62:A64"/>
    <mergeCell ref="A65:A67"/>
    <mergeCell ref="A32:A34"/>
    <mergeCell ref="A35:A37"/>
    <mergeCell ref="A38:A40"/>
    <mergeCell ref="A41:A43"/>
    <mergeCell ref="A44:A46"/>
    <mergeCell ref="A47:A49"/>
    <mergeCell ref="A14:A16"/>
    <mergeCell ref="A17:A19"/>
    <mergeCell ref="A20:A22"/>
    <mergeCell ref="A23:A25"/>
    <mergeCell ref="A26:A28"/>
    <mergeCell ref="A29:A31"/>
    <mergeCell ref="A1:B1"/>
    <mergeCell ref="A2:A4"/>
    <mergeCell ref="A5:A7"/>
    <mergeCell ref="A8:A10"/>
    <mergeCell ref="A11:A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8A6B0-A20F-4125-96C4-F06C2339DDA1}">
  <dimension ref="A1:G10"/>
  <sheetViews>
    <sheetView workbookViewId="0">
      <selection activeCell="E1" sqref="E1:G3"/>
    </sheetView>
  </sheetViews>
  <sheetFormatPr defaultRowHeight="14.5" x14ac:dyDescent="0.35"/>
  <cols>
    <col min="5" max="5" width="9.08984375" bestFit="1" customWidth="1"/>
    <col min="6" max="6" width="15.453125" bestFit="1" customWidth="1"/>
    <col min="7" max="7" width="10.26953125" bestFit="1" customWidth="1"/>
  </cols>
  <sheetData>
    <row r="1" spans="1:7" x14ac:dyDescent="0.35">
      <c r="A1" t="s">
        <v>40</v>
      </c>
      <c r="E1" s="51" t="s">
        <v>113</v>
      </c>
      <c r="F1" s="61" t="s">
        <v>38</v>
      </c>
      <c r="G1" s="51" t="s">
        <v>98</v>
      </c>
    </row>
    <row r="2" spans="1:7" x14ac:dyDescent="0.35">
      <c r="A2" s="19" t="s">
        <v>37</v>
      </c>
      <c r="B2" s="19"/>
      <c r="C2" s="20"/>
      <c r="E2" t="s">
        <v>40</v>
      </c>
      <c r="F2" s="50">
        <f>A4</f>
        <v>0.82419192792669105</v>
      </c>
      <c r="G2" t="str">
        <f>IF(F2&gt;0.6,"Reliabel","Tidak Reliabel")</f>
        <v>Reliabel</v>
      </c>
    </row>
    <row r="3" spans="1:7" ht="24" x14ac:dyDescent="0.35">
      <c r="A3" s="21" t="s">
        <v>38</v>
      </c>
      <c r="B3" s="22" t="s">
        <v>39</v>
      </c>
      <c r="C3" s="20"/>
      <c r="E3" s="52" t="s">
        <v>41</v>
      </c>
      <c r="F3" s="53">
        <f>A10</f>
        <v>0.71784865279043597</v>
      </c>
      <c r="G3" s="52" t="str">
        <f>IF(F3&gt;0.6,"Reliabel","Tidak Reliabel")</f>
        <v>Reliabel</v>
      </c>
    </row>
    <row r="4" spans="1:7" x14ac:dyDescent="0.35">
      <c r="A4" s="23">
        <v>0.82419192792669105</v>
      </c>
      <c r="B4" s="24">
        <v>30</v>
      </c>
      <c r="C4" s="20"/>
    </row>
    <row r="7" spans="1:7" x14ac:dyDescent="0.35">
      <c r="A7" t="s">
        <v>41</v>
      </c>
    </row>
    <row r="8" spans="1:7" x14ac:dyDescent="0.35">
      <c r="A8" s="44" t="s">
        <v>37</v>
      </c>
      <c r="B8" s="44"/>
      <c r="C8" s="45"/>
    </row>
    <row r="9" spans="1:7" ht="24" x14ac:dyDescent="0.35">
      <c r="A9" s="46" t="s">
        <v>38</v>
      </c>
      <c r="B9" s="47" t="s">
        <v>39</v>
      </c>
      <c r="C9" s="45"/>
    </row>
    <row r="10" spans="1:7" x14ac:dyDescent="0.35">
      <c r="A10" s="48">
        <v>0.71784865279043597</v>
      </c>
      <c r="B10" s="49">
        <v>30</v>
      </c>
      <c r="C10" s="45"/>
    </row>
  </sheetData>
  <mergeCells count="2">
    <mergeCell ref="A2:B2"/>
    <mergeCell ref="A8:B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Validitas Pogil</vt:lpstr>
      <vt:lpstr>Validitas DI</vt:lpstr>
      <vt:lpstr>Reliabilitas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2025-05-14T03:34:33Z</dcterms:created>
  <dcterms:modified xsi:type="dcterms:W3CDTF">2025-05-14T04:11:07Z</dcterms:modified>
</cp:coreProperties>
</file>